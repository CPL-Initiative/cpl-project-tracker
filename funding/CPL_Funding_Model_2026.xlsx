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PL IMPLEMENTATION MODEL 2026" sheetId="1" state="visible" r:id="rId1"/>
  </sheets>
  <externalReferences>
    <externalReference r:id="rId2"/>
  </externalReferences>
  <definedNames>
    <definedName name="Comparison_Tool_Data_Full">#REF!</definedName>
    <definedName name="Sections">#REF!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0.000%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 tint="0.499984740745262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0499893185216834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</borders>
  <cellStyleXfs count="2">
    <xf numFmtId="0" fontId="1" fillId="0" borderId="0"/>
    <xf numFmtId="9" fontId="1" fillId="0" borderId="0"/>
  </cellStyleXfs>
  <cellXfs count="5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4" fontId="4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top" wrapText="1"/>
    </xf>
    <xf numFmtId="0" fontId="3" fillId="3" borderId="3" applyAlignment="1" pivotButton="0" quotePrefix="0" xfId="0">
      <alignment horizontal="center" vertical="top" wrapText="1"/>
    </xf>
    <xf numFmtId="0" fontId="3" fillId="3" borderId="4" applyAlignment="1" pivotButton="0" quotePrefix="0" xfId="0">
      <alignment horizontal="center" vertical="top" wrapText="1"/>
    </xf>
    <xf numFmtId="0" fontId="3" fillId="0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0" fontId="6" fillId="0" borderId="1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" fillId="0" borderId="1" pivotButton="0" quotePrefix="0" xfId="0"/>
    <xf numFmtId="10" fontId="2" fillId="0" borderId="1" pivotButton="0" quotePrefix="0" xfId="1"/>
    <xf numFmtId="165" fontId="2" fillId="0" borderId="1" pivotButton="0" quotePrefix="0" xfId="1"/>
    <xf numFmtId="0" fontId="2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7" fillId="0" borderId="1" pivotButton="0" quotePrefix="0" xfId="0"/>
    <xf numFmtId="10" fontId="7" fillId="0" borderId="1" pivotButton="0" quotePrefix="0" xfId="1"/>
    <xf numFmtId="3" fontId="6" fillId="0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9" fontId="5" fillId="2" borderId="2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/>
    </xf>
    <xf numFmtId="165" fontId="2" fillId="0" borderId="1" pivotButton="0" quotePrefix="0" xfId="1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studentrcc.sharepoint.com/sites/MilitaryArticulationPlatform/Shared%20Documents/CCCCO/Governors%20Budget/01092026%202025-26%20CPL%20Funding%20Models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PL IMPLEMENTATION MODEL Orig"/>
      <sheetName val="CPL IMPLEMENTATION MODEL Sam2"/>
      <sheetName val="CPL MODEL Erik 2026"/>
      <sheetName val="CPL IMPLEMENTATION MODEL 2026"/>
      <sheetName val="CPL IMPLEMENTATION MODEL Erik"/>
      <sheetName val="CPL IMPLEMENTATION MODEL3"/>
      <sheetName val="Activity List"/>
      <sheetName val="CPL Vision 2030 Budget"/>
      <sheetName val="Draft 24-25 Request Form"/>
      <sheetName val="Counties"/>
      <sheetName val="Sheet1"/>
      <sheetName val="Econ Impact"/>
      <sheetName val="ACSST1Y2022.S1501-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129"/>
  <sheetViews>
    <sheetView showGridLines="0" tabSelected="1" zoomScale="96" zoomScaleNormal="96" workbookViewId="0">
      <selection activeCell="J2" sqref="J2"/>
    </sheetView>
  </sheetViews>
  <sheetFormatPr baseColWidth="8" defaultColWidth="9.140625" defaultRowHeight="12.75"/>
  <cols>
    <col width="4.140625" customWidth="1" style="1" min="1" max="1"/>
    <col width="16.7109375" bestFit="1" customWidth="1" style="8" min="2" max="2"/>
    <col width="12" bestFit="1" customWidth="1" style="9" min="3" max="3"/>
    <col width="15.7109375" customWidth="1" style="9" min="4" max="4"/>
    <col width="16.85546875" customWidth="1" style="10" min="5" max="5"/>
    <col width="12.28515625" customWidth="1" style="10" min="6" max="6"/>
    <col width="13.7109375" customWidth="1" style="10" min="7" max="7"/>
    <col width="12.28515625" customWidth="1" style="10" min="8" max="8"/>
    <col width="13.42578125" customWidth="1" style="10" min="9" max="9"/>
    <col width="13.5703125" customWidth="1" style="10" min="10" max="10"/>
    <col width="14" customWidth="1" style="10" min="11" max="12"/>
    <col width="12.28515625" customWidth="1" style="10" min="13" max="14"/>
    <col width="11.140625" bestFit="1" customWidth="1" style="10" min="15" max="15"/>
    <col width="9.85546875" customWidth="1" style="10" min="16" max="16"/>
    <col width="13.7109375" bestFit="1" customWidth="1" style="10" min="17" max="17"/>
    <col width="11.5703125" customWidth="1" style="10" min="18" max="18"/>
    <col width="9.140625" customWidth="1" style="10" min="19" max="16384"/>
  </cols>
  <sheetData>
    <row r="2" ht="52.5" customFormat="1" customHeight="1" s="3">
      <c r="A2" s="1" t="n"/>
      <c r="C2" s="11" t="inlineStr">
        <is>
          <t>2025-26 CPL REMAINING ONE-TIME FUNDING</t>
        </is>
      </c>
      <c r="D2" s="11" t="inlineStr">
        <is>
          <t>2026-27 CPL ONE-TIME FUNDING</t>
        </is>
      </c>
      <c r="E2" s="11" t="inlineStr">
        <is>
          <t>ADMIN COST (2 FTE*3 YRS = 400000*3)</t>
        </is>
      </c>
      <c r="F2" s="11" t="inlineStr">
        <is>
          <t>SCALING PROJECTS &amp; TECH</t>
        </is>
      </c>
      <c r="G2" s="11" t="inlineStr">
        <is>
          <t>26-30 TOTAL AVAILABLE COLLEGE FUNDING</t>
        </is>
      </c>
      <c r="H2" s="11" t="inlineStr">
        <is>
          <t>26-27 AVAILABLE COLLEGE FUNDING</t>
        </is>
      </c>
      <c r="I2" s="11" t="inlineStr">
        <is>
          <t>27-28 AVAILABLE COLLEGE FUNDING</t>
        </is>
      </c>
      <c r="J2" s="11" t="inlineStr">
        <is>
          <t>28-29 AVAILABLE COLLEGE FUNDING</t>
        </is>
      </c>
      <c r="K2" s="11" t="inlineStr">
        <is>
          <t>CCC HEADCOUNT</t>
        </is>
      </c>
      <c r="L2" s="11" t="inlineStr">
        <is>
          <t>PER STUDENT</t>
        </is>
      </c>
      <c r="M2" s="11" t="inlineStr">
        <is>
          <t>PROJECTED</t>
        </is>
      </c>
      <c r="N2" s="11" t="inlineStr">
        <is>
          <t>BALANCE</t>
        </is>
      </c>
    </row>
    <row r="3" ht="18.75" customFormat="1" customHeight="1" s="3">
      <c r="A3" s="1" t="n"/>
      <c r="C3" s="42" t="n">
        <v>9040307</v>
      </c>
      <c r="D3" s="42" t="n">
        <v>35000000</v>
      </c>
      <c r="E3" s="42" t="n">
        <v>1200000</v>
      </c>
      <c r="F3" s="42" t="n">
        <v>8040307</v>
      </c>
      <c r="G3" s="43" t="n"/>
      <c r="H3" s="43">
        <f>((C3+D3)-(E3+F3))/3</f>
        <v/>
      </c>
      <c r="I3" s="43">
        <f>((C3+D3)-(E3+F3))/3</f>
        <v/>
      </c>
      <c r="J3" s="43">
        <f>((C3+D3)-(E3+F3))/3</f>
        <v/>
      </c>
      <c r="K3" s="6">
        <f>C8</f>
        <v/>
      </c>
      <c r="L3" s="7">
        <f>H3/K3</f>
        <v/>
      </c>
      <c r="M3" s="6">
        <f>K8</f>
        <v/>
      </c>
      <c r="N3" s="43">
        <f>H3-M3</f>
        <v/>
      </c>
    </row>
    <row r="4"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 ht="136.5" customFormat="1" customHeight="1" s="3">
      <c r="A5" s="11" t="inlineStr">
        <is>
          <t>ORDER</t>
        </is>
      </c>
      <c r="B5" s="11" t="inlineStr">
        <is>
          <t>LOCATION</t>
        </is>
      </c>
      <c r="C5" s="11" t="inlineStr">
        <is>
          <t>2022-2023 MIS ANNUAL HEADCOUNT</t>
        </is>
      </c>
      <c r="D5" s="11" t="inlineStr">
        <is>
          <t>HEADCOUNT PCT TOTAL</t>
        </is>
      </c>
      <c r="E5" s="44" t="inlineStr">
        <is>
          <t>PRIORITY 1
Increase CCC certificate or degree completion through CPL awards.
METRIC: DOCUMENTED COMPLETION WITH TRANSCRIBED CPL UNITS &gt;=6 IN MAP</t>
        </is>
      </c>
      <c r="F5" s="45" t="n"/>
      <c r="G5" s="44" t="inlineStr">
        <is>
          <t>PRIORITY 2
Increase college access through CPL.
METRIC: DOCUMENTED ENROLLMENTS WITH CPL WITH TRANSCRIBED CPL UNITS &gt;=6 IN MAP</t>
        </is>
      </c>
      <c r="H5" s="45" t="n"/>
      <c r="I5" s="12" t="inlineStr">
        <is>
          <t>PRIORITY 3
Increase CCC CPL capacity, visibility, documentability, interoperability, mobility.
METRIC: TOTAL HEADCOUNT WITH TRANSCRIBED 
CPL IN MAP AND MIS</t>
        </is>
      </c>
      <c r="J5" s="46" t="n"/>
      <c r="K5" s="11" t="inlineStr">
        <is>
          <t>TOTAL POTENTIAL ALLOCATION</t>
        </is>
      </c>
      <c r="L5" s="11" t="inlineStr">
        <is>
          <t>DISTRICT</t>
        </is>
      </c>
      <c r="M5" s="11" t="inlineStr">
        <is>
          <t>COUNTY</t>
        </is>
      </c>
      <c r="N5" s="11" t="inlineStr">
        <is>
          <t>2022 ESTIMATED WORKING ADULTS SOME COLLEGE NO DEGREE</t>
        </is>
      </c>
      <c r="O5" s="11" t="inlineStr">
        <is>
          <t>PERCENT COUNTY POPULATION</t>
        </is>
      </c>
      <c r="P5" s="11" t="n"/>
    </row>
    <row r="6" ht="25.5" customHeight="1">
      <c r="A6" s="47" t="n"/>
      <c r="B6" s="47" t="n"/>
      <c r="C6" s="47" t="n"/>
      <c r="D6" s="47" t="n"/>
      <c r="E6" s="16" t="inlineStr">
        <is>
          <t>PRIORITY SHARE</t>
        </is>
      </c>
      <c r="F6" s="16" t="inlineStr">
        <is>
          <t>PROJECTED HEADCOUNT (TARGET)</t>
        </is>
      </c>
      <c r="G6" s="16" t="inlineStr">
        <is>
          <t>PRIORITY SHARE</t>
        </is>
      </c>
      <c r="H6" s="16" t="inlineStr">
        <is>
          <t>PROJECTED HEADCOUNT (TARGET)</t>
        </is>
      </c>
      <c r="I6" s="16" t="inlineStr">
        <is>
          <t>PRIORITY SHARE</t>
        </is>
      </c>
      <c r="J6" s="16" t="inlineStr">
        <is>
          <t>PROJECTED HEADCOUNT (TARGET)</t>
        </is>
      </c>
      <c r="K6" s="47" t="n"/>
      <c r="L6" s="47" t="n"/>
      <c r="M6" s="47" t="n"/>
      <c r="N6" s="47" t="n"/>
      <c r="O6" s="47" t="n"/>
      <c r="P6" s="47" t="n"/>
    </row>
    <row r="7" ht="19.5" customFormat="1" customHeight="1" s="3">
      <c r="A7" s="48" t="n"/>
      <c r="B7" s="48" t="n"/>
      <c r="C7" s="48" t="n"/>
      <c r="D7" s="48" t="n"/>
      <c r="E7" s="49" t="n">
        <v>0.3</v>
      </c>
      <c r="F7" s="19" t="n">
        <v>0.05</v>
      </c>
      <c r="G7" s="49" t="n">
        <v>0.42</v>
      </c>
      <c r="H7" s="19" t="n">
        <v>0.06</v>
      </c>
      <c r="I7" s="49" t="n">
        <v>0.28</v>
      </c>
      <c r="J7" s="19" t="n">
        <v>0.046666666</v>
      </c>
      <c r="K7" s="48" t="n"/>
      <c r="L7" s="48" t="n"/>
      <c r="M7" s="48" t="n"/>
      <c r="N7" s="48" t="n"/>
      <c r="O7" s="48" t="n"/>
      <c r="P7" s="48" t="n"/>
    </row>
    <row r="8" ht="21" customFormat="1" customHeight="1" s="28">
      <c r="A8" s="21" t="n">
        <v>0</v>
      </c>
      <c r="B8" s="22" t="inlineStr">
        <is>
          <t>SYSTEM</t>
        </is>
      </c>
      <c r="C8" s="23">
        <f>SUM(C9:C126)</f>
        <v/>
      </c>
      <c r="D8" s="24">
        <f>C8/C$8</f>
        <v/>
      </c>
      <c r="E8" s="23">
        <f>$D8*E$7*$H$3</f>
        <v/>
      </c>
      <c r="F8" s="23">
        <f>C8*F$7</f>
        <v/>
      </c>
      <c r="G8" s="23">
        <f>$D8*G$7*$H$3</f>
        <v/>
      </c>
      <c r="H8" s="23">
        <f>C8*H$7</f>
        <v/>
      </c>
      <c r="I8" s="23">
        <f>$D8*I$7*$H$3</f>
        <v/>
      </c>
      <c r="J8" s="23">
        <f>C8*J$7</f>
        <v/>
      </c>
      <c r="K8" s="23">
        <f>E8+G8+I8</f>
        <v/>
      </c>
      <c r="L8" s="25" t="inlineStr">
        <is>
          <t>CCCCO</t>
        </is>
      </c>
      <c r="M8" s="25" t="inlineStr">
        <is>
          <t>CALIFORNIA</t>
        </is>
      </c>
      <c r="N8" s="26" t="n">
        <v>5106199</v>
      </c>
      <c r="O8" s="27">
        <f>N8/N$8</f>
        <v/>
      </c>
      <c r="P8" s="27" t="n"/>
    </row>
    <row r="9" ht="15" customHeight="1">
      <c r="A9" s="29" t="n">
        <v>1</v>
      </c>
      <c r="B9" s="30" t="inlineStr">
        <is>
          <t>Alameda</t>
        </is>
      </c>
      <c r="C9" s="31" t="n">
        <v>9582</v>
      </c>
      <c r="D9" s="50">
        <f>C9/C$8</f>
        <v/>
      </c>
      <c r="E9" s="31">
        <f>$D9*E$7*$H$3</f>
        <v/>
      </c>
      <c r="F9" s="31">
        <f>C9*F$7</f>
        <v/>
      </c>
      <c r="G9" s="31">
        <f>$D9*G$7*$H$3</f>
        <v/>
      </c>
      <c r="H9" s="31">
        <f>C9*H$7</f>
        <v/>
      </c>
      <c r="I9" s="31">
        <f>$D9*I$7*$H$3</f>
        <v/>
      </c>
      <c r="J9" s="31">
        <f>C9*J$7</f>
        <v/>
      </c>
      <c r="K9" s="41">
        <f>E9+G9+I9</f>
        <v/>
      </c>
      <c r="L9" s="30" t="inlineStr">
        <is>
          <t>Peralta Community College District</t>
        </is>
      </c>
      <c r="M9" s="30" t="inlineStr">
        <is>
          <t>Alameda</t>
        </is>
      </c>
      <c r="N9" s="34" t="n">
        <v>167785</v>
      </c>
      <c r="O9" s="35">
        <f>N9/N$8</f>
        <v/>
      </c>
      <c r="P9" s="51" t="n"/>
    </row>
    <row r="10" ht="15" customHeight="1">
      <c r="A10" s="29" t="n">
        <v>7</v>
      </c>
      <c r="B10" s="30" t="inlineStr">
        <is>
          <t>Berkeley City</t>
        </is>
      </c>
      <c r="C10" s="31" t="n">
        <v>10515</v>
      </c>
      <c r="D10" s="50">
        <f>C10/C$8</f>
        <v/>
      </c>
      <c r="E10" s="31">
        <f>$D10*E$7*$H$3</f>
        <v/>
      </c>
      <c r="F10" s="31">
        <f>C10*F$7</f>
        <v/>
      </c>
      <c r="G10" s="31">
        <f>$D10*G$7*$H$3</f>
        <v/>
      </c>
      <c r="H10" s="31">
        <f>C10*H$7</f>
        <v/>
      </c>
      <c r="I10" s="31">
        <f>$D10*I$7*$H$3</f>
        <v/>
      </c>
      <c r="J10" s="31">
        <f>C10*J$7</f>
        <v/>
      </c>
      <c r="K10" s="41">
        <f>E10+G10+I10</f>
        <v/>
      </c>
      <c r="L10" s="30" t="inlineStr">
        <is>
          <t>Peralta Community College District</t>
        </is>
      </c>
      <c r="M10" s="30" t="inlineStr">
        <is>
          <t>Alameda</t>
        </is>
      </c>
      <c r="N10" s="34" t="n">
        <v>167785</v>
      </c>
      <c r="O10" s="35">
        <f>N10/N$8</f>
        <v/>
      </c>
      <c r="P10" s="51" t="n"/>
    </row>
    <row r="11" ht="15" customHeight="1">
      <c r="A11" s="29" t="n">
        <v>14</v>
      </c>
      <c r="B11" s="30" t="inlineStr">
        <is>
          <t>Chabot Hayward</t>
        </is>
      </c>
      <c r="C11" s="31" t="n">
        <v>17342</v>
      </c>
      <c r="D11" s="50">
        <f>C11/C$8</f>
        <v/>
      </c>
      <c r="E11" s="31">
        <f>$D11*E$7*$H$3</f>
        <v/>
      </c>
      <c r="F11" s="31">
        <f>C11*F$7</f>
        <v/>
      </c>
      <c r="G11" s="31">
        <f>$D11*G$7*$H$3</f>
        <v/>
      </c>
      <c r="H11" s="31">
        <f>C11*H$7</f>
        <v/>
      </c>
      <c r="I11" s="31">
        <f>$D11*I$7*$H$3</f>
        <v/>
      </c>
      <c r="J11" s="31">
        <f>C11*J$7</f>
        <v/>
      </c>
      <c r="K11" s="41">
        <f>E11+G11+I11</f>
        <v/>
      </c>
      <c r="L11" s="30" t="inlineStr">
        <is>
          <t>Chabot-Las Positas Community College District</t>
        </is>
      </c>
      <c r="M11" s="30" t="inlineStr">
        <is>
          <t>Alameda</t>
        </is>
      </c>
      <c r="N11" s="34" t="n">
        <v>167785</v>
      </c>
      <c r="O11" s="35">
        <f>N11/N$8</f>
        <v/>
      </c>
      <c r="P11" s="51" t="n"/>
    </row>
    <row r="12" ht="15" customHeight="1">
      <c r="A12" s="29" t="n">
        <v>54</v>
      </c>
      <c r="B12" s="30" t="inlineStr">
        <is>
          <t>Laney</t>
        </is>
      </c>
      <c r="C12" s="31" t="n">
        <v>15939</v>
      </c>
      <c r="D12" s="50">
        <f>C12/C$8</f>
        <v/>
      </c>
      <c r="E12" s="31">
        <f>$D12*E$7*$H$3</f>
        <v/>
      </c>
      <c r="F12" s="31">
        <f>C12*F$7</f>
        <v/>
      </c>
      <c r="G12" s="31">
        <f>$D12*G$7*$H$3</f>
        <v/>
      </c>
      <c r="H12" s="31">
        <f>C12*H$7</f>
        <v/>
      </c>
      <c r="I12" s="31">
        <f>$D12*I$7*$H$3</f>
        <v/>
      </c>
      <c r="J12" s="31">
        <f>C12*J$7</f>
        <v/>
      </c>
      <c r="K12" s="41">
        <f>E12+G12+I12</f>
        <v/>
      </c>
      <c r="L12" s="30" t="inlineStr">
        <is>
          <t>Peralta Community College District</t>
        </is>
      </c>
      <c r="M12" s="30" t="inlineStr">
        <is>
          <t>Alameda</t>
        </is>
      </c>
      <c r="N12" s="34" t="n">
        <v>167785</v>
      </c>
      <c r="O12" s="35">
        <f>N12/N$8</f>
        <v/>
      </c>
      <c r="P12" s="51" t="n"/>
    </row>
    <row r="13" ht="15" customHeight="1">
      <c r="A13" s="29" t="n">
        <v>55</v>
      </c>
      <c r="B13" s="30" t="inlineStr">
        <is>
          <t>Las Positas</t>
        </is>
      </c>
      <c r="C13" s="31" t="n">
        <v>10371</v>
      </c>
      <c r="D13" s="50">
        <f>C13/C$8</f>
        <v/>
      </c>
      <c r="E13" s="31">
        <f>$D13*E$7*$H$3</f>
        <v/>
      </c>
      <c r="F13" s="31">
        <f>C13*F$7</f>
        <v/>
      </c>
      <c r="G13" s="31">
        <f>$D13*G$7*$H$3</f>
        <v/>
      </c>
      <c r="H13" s="31">
        <f>C13*H$7</f>
        <v/>
      </c>
      <c r="I13" s="31">
        <f>$D13*I$7*$H$3</f>
        <v/>
      </c>
      <c r="J13" s="31">
        <f>C13*J$7</f>
        <v/>
      </c>
      <c r="K13" s="41">
        <f>E13+G13+I13</f>
        <v/>
      </c>
      <c r="L13" s="30" t="inlineStr">
        <is>
          <t>Chabot-Las Positas Community College District</t>
        </is>
      </c>
      <c r="M13" s="30" t="inlineStr">
        <is>
          <t>Alameda</t>
        </is>
      </c>
      <c r="N13" s="34" t="n">
        <v>167785</v>
      </c>
      <c r="O13" s="35">
        <f>N13/N$8</f>
        <v/>
      </c>
      <c r="P13" s="51" t="n"/>
    </row>
    <row r="14" ht="15" customHeight="1">
      <c r="A14" s="29" t="n">
        <v>63</v>
      </c>
      <c r="B14" s="30" t="inlineStr">
        <is>
          <t>Merritt</t>
        </is>
      </c>
      <c r="C14" s="31" t="n">
        <v>11136</v>
      </c>
      <c r="D14" s="50">
        <f>C14/C$8</f>
        <v/>
      </c>
      <c r="E14" s="31">
        <f>$D14*E$7*$H$3</f>
        <v/>
      </c>
      <c r="F14" s="31">
        <f>C14*F$7</f>
        <v/>
      </c>
      <c r="G14" s="31">
        <f>$D14*G$7*$H$3</f>
        <v/>
      </c>
      <c r="H14" s="31">
        <f>C14*H$7</f>
        <v/>
      </c>
      <c r="I14" s="31">
        <f>$D14*I$7*$H$3</f>
        <v/>
      </c>
      <c r="J14" s="31">
        <f>C14*J$7</f>
        <v/>
      </c>
      <c r="K14" s="41">
        <f>E14+G14+I14</f>
        <v/>
      </c>
      <c r="L14" s="30" t="inlineStr">
        <is>
          <t>Peralta Community College District</t>
        </is>
      </c>
      <c r="M14" s="30" t="inlineStr">
        <is>
          <t>Alameda</t>
        </is>
      </c>
      <c r="N14" s="34" t="n">
        <v>167785</v>
      </c>
      <c r="O14" s="35">
        <f>N14/N$8</f>
        <v/>
      </c>
      <c r="P14" s="51" t="n"/>
    </row>
    <row r="15" ht="15" customHeight="1">
      <c r="A15" s="29" t="n">
        <v>75</v>
      </c>
      <c r="B15" s="30" t="inlineStr">
        <is>
          <t>Ohlone</t>
        </is>
      </c>
      <c r="C15" s="31" t="n">
        <v>16230</v>
      </c>
      <c r="D15" s="50">
        <f>C15/C$8</f>
        <v/>
      </c>
      <c r="E15" s="31">
        <f>$D15*E$7*$H$3</f>
        <v/>
      </c>
      <c r="F15" s="31">
        <f>C15*F$7</f>
        <v/>
      </c>
      <c r="G15" s="31">
        <f>$D15*G$7*$H$3</f>
        <v/>
      </c>
      <c r="H15" s="31">
        <f>C15*H$7</f>
        <v/>
      </c>
      <c r="I15" s="31">
        <f>$D15*I$7*$H$3</f>
        <v/>
      </c>
      <c r="J15" s="31">
        <f>C15*J$7</f>
        <v/>
      </c>
      <c r="K15" s="41">
        <f>E15+G15+I15</f>
        <v/>
      </c>
      <c r="L15" s="30" t="inlineStr">
        <is>
          <t>Ohlone Community College District</t>
        </is>
      </c>
      <c r="M15" s="30" t="inlineStr">
        <is>
          <t>Alameda</t>
        </is>
      </c>
      <c r="N15" s="34" t="n">
        <v>167785</v>
      </c>
      <c r="O15" s="35">
        <f>N15/N$8</f>
        <v/>
      </c>
      <c r="P15" s="51" t="n"/>
    </row>
    <row r="16" ht="15" customHeight="1">
      <c r="A16" s="29" t="n">
        <v>8</v>
      </c>
      <c r="B16" s="30" t="inlineStr">
        <is>
          <t>Butte</t>
        </is>
      </c>
      <c r="C16" s="31" t="n">
        <v>13448</v>
      </c>
      <c r="D16" s="50">
        <f>C16/C$8</f>
        <v/>
      </c>
      <c r="E16" s="31">
        <f>$D16*E$7*$H$3</f>
        <v/>
      </c>
      <c r="F16" s="31">
        <f>C16*F$7</f>
        <v/>
      </c>
      <c r="G16" s="31">
        <f>$D16*G$7*$H$3</f>
        <v/>
      </c>
      <c r="H16" s="31">
        <f>C16*H$7</f>
        <v/>
      </c>
      <c r="I16" s="31">
        <f>$D16*I$7*$H$3</f>
        <v/>
      </c>
      <c r="J16" s="31">
        <f>C16*J$7</f>
        <v/>
      </c>
      <c r="K16" s="41">
        <f>E16+G16+I16</f>
        <v/>
      </c>
      <c r="L16" s="30" t="inlineStr">
        <is>
          <t>Butte-Glenn Community College District</t>
        </is>
      </c>
      <c r="M16" s="30" t="inlineStr">
        <is>
          <t>Butte</t>
        </is>
      </c>
      <c r="N16" s="34" t="n">
        <v>33835</v>
      </c>
      <c r="O16" s="35">
        <f>N16/N$8</f>
        <v/>
      </c>
      <c r="P16" s="51" t="n"/>
    </row>
    <row r="17" ht="15" customHeight="1">
      <c r="A17" s="29" t="n">
        <v>21</v>
      </c>
      <c r="B17" s="30" t="inlineStr">
        <is>
          <t>Contra Costa</t>
        </is>
      </c>
      <c r="C17" s="31" t="n">
        <v>9993</v>
      </c>
      <c r="D17" s="50">
        <f>C17/C$8</f>
        <v/>
      </c>
      <c r="E17" s="31">
        <f>$D17*E$7*$H$3</f>
        <v/>
      </c>
      <c r="F17" s="31">
        <f>C17*F$7</f>
        <v/>
      </c>
      <c r="G17" s="31">
        <f>$D17*G$7*$H$3</f>
        <v/>
      </c>
      <c r="H17" s="31">
        <f>C17*H$7</f>
        <v/>
      </c>
      <c r="I17" s="31">
        <f>$D17*I$7*$H$3</f>
        <v/>
      </c>
      <c r="J17" s="31">
        <f>C17*J$7</f>
        <v/>
      </c>
      <c r="K17" s="41">
        <f>E17+G17+I17</f>
        <v/>
      </c>
      <c r="L17" s="30" t="inlineStr">
        <is>
          <t>Contra Costa Community College District</t>
        </is>
      </c>
      <c r="M17" s="30" t="inlineStr">
        <is>
          <t>Contra Costa</t>
        </is>
      </c>
      <c r="N17" s="34" t="n">
        <v>146127</v>
      </c>
      <c r="O17" s="35">
        <f>N17/N$8</f>
        <v/>
      </c>
      <c r="P17" s="51" t="n"/>
    </row>
    <row r="18" ht="15" customHeight="1">
      <c r="A18" s="29" t="n">
        <v>30</v>
      </c>
      <c r="B18" s="30" t="inlineStr">
        <is>
          <t>Diablo Valley</t>
        </is>
      </c>
      <c r="C18" s="31" t="n">
        <v>23983</v>
      </c>
      <c r="D18" s="50">
        <f>C18/C$8</f>
        <v/>
      </c>
      <c r="E18" s="31">
        <f>$D18*E$7*$H$3</f>
        <v/>
      </c>
      <c r="F18" s="31">
        <f>C18*F$7</f>
        <v/>
      </c>
      <c r="G18" s="31">
        <f>$D18*G$7*$H$3</f>
        <v/>
      </c>
      <c r="H18" s="31">
        <f>C18*H$7</f>
        <v/>
      </c>
      <c r="I18" s="31">
        <f>$D18*I$7*$H$3</f>
        <v/>
      </c>
      <c r="J18" s="31">
        <f>C18*J$7</f>
        <v/>
      </c>
      <c r="K18" s="41">
        <f>E18+G18+I18</f>
        <v/>
      </c>
      <c r="L18" s="30" t="inlineStr">
        <is>
          <t>Contra Costa Community College District</t>
        </is>
      </c>
      <c r="M18" s="30" t="inlineStr">
        <is>
          <t>Contra Costa</t>
        </is>
      </c>
      <c r="N18" s="34" t="n">
        <v>146127</v>
      </c>
      <c r="O18" s="35">
        <f>N18/N$8</f>
        <v/>
      </c>
      <c r="P18" s="51" t="n"/>
    </row>
    <row r="19" ht="15" customHeight="1">
      <c r="A19" s="29" t="n">
        <v>58</v>
      </c>
      <c r="B19" s="30" t="inlineStr">
        <is>
          <t>Los Medanos</t>
        </is>
      </c>
      <c r="C19" s="31" t="n">
        <v>11452</v>
      </c>
      <c r="D19" s="50">
        <f>C19/C$8</f>
        <v/>
      </c>
      <c r="E19" s="31">
        <f>$D19*E$7*$H$3</f>
        <v/>
      </c>
      <c r="F19" s="31">
        <f>C19*F$7</f>
        <v/>
      </c>
      <c r="G19" s="31">
        <f>$D19*G$7*$H$3</f>
        <v/>
      </c>
      <c r="H19" s="31">
        <f>C19*H$7</f>
        <v/>
      </c>
      <c r="I19" s="31">
        <f>$D19*I$7*$H$3</f>
        <v/>
      </c>
      <c r="J19" s="31">
        <f>C19*J$7</f>
        <v/>
      </c>
      <c r="K19" s="41">
        <f>E19+G19+I19</f>
        <v/>
      </c>
      <c r="L19" s="30" t="inlineStr">
        <is>
          <t>Contra Costa Community College District</t>
        </is>
      </c>
      <c r="M19" s="30" t="inlineStr">
        <is>
          <t>Contra Costa</t>
        </is>
      </c>
      <c r="N19" s="34" t="n">
        <v>146127</v>
      </c>
      <c r="O19" s="35">
        <f>N19/N$8</f>
        <v/>
      </c>
      <c r="P19" s="51" t="n"/>
    </row>
    <row r="20" ht="15" customHeight="1">
      <c r="A20" s="29" t="n">
        <v>53</v>
      </c>
      <c r="B20" s="30" t="inlineStr">
        <is>
          <t>Lake Tahoe</t>
        </is>
      </c>
      <c r="C20" s="31" t="n">
        <v>9259</v>
      </c>
      <c r="D20" s="50">
        <f>C20/C$8</f>
        <v/>
      </c>
      <c r="E20" s="31">
        <f>$D20*E$7*$H$3</f>
        <v/>
      </c>
      <c r="F20" s="31">
        <f>C20*F$7</f>
        <v/>
      </c>
      <c r="G20" s="31">
        <f>$D20*G$7*$H$3</f>
        <v/>
      </c>
      <c r="H20" s="31">
        <f>C20*H$7</f>
        <v/>
      </c>
      <c r="I20" s="31">
        <f>$D20*I$7*$H$3</f>
        <v/>
      </c>
      <c r="J20" s="31">
        <f>C20*J$7</f>
        <v/>
      </c>
      <c r="K20" s="41">
        <f>E20+G20+I20</f>
        <v/>
      </c>
      <c r="L20" s="30" t="inlineStr">
        <is>
          <t>Lake Tahoe Community College District</t>
        </is>
      </c>
      <c r="M20" s="30" t="inlineStr">
        <is>
          <t>El Dorado</t>
        </is>
      </c>
      <c r="N20" s="34" t="n">
        <v>37623</v>
      </c>
      <c r="O20" s="35">
        <f>N20/N$8</f>
        <v/>
      </c>
      <c r="P20" s="51" t="n"/>
    </row>
    <row r="21" ht="15" customHeight="1">
      <c r="A21" s="29" t="n">
        <v>17</v>
      </c>
      <c r="B21" s="30" t="inlineStr">
        <is>
          <t>Clovis</t>
        </is>
      </c>
      <c r="C21" s="31" t="n">
        <v>13162</v>
      </c>
      <c r="D21" s="50">
        <f>C21/C$8</f>
        <v/>
      </c>
      <c r="E21" s="31">
        <f>$D21*E$7*$H$3</f>
        <v/>
      </c>
      <c r="F21" s="31">
        <f>C21*F$7</f>
        <v/>
      </c>
      <c r="G21" s="31">
        <f>$D21*G$7*$H$3</f>
        <v/>
      </c>
      <c r="H21" s="31">
        <f>C21*H$7</f>
        <v/>
      </c>
      <c r="I21" s="31">
        <f>$D21*I$7*$H$3</f>
        <v/>
      </c>
      <c r="J21" s="31">
        <f>C21*J$7</f>
        <v/>
      </c>
      <c r="K21" s="41">
        <f>E21+G21+I21</f>
        <v/>
      </c>
      <c r="L21" s="30" t="inlineStr">
        <is>
          <t>State Center Community College District</t>
        </is>
      </c>
      <c r="M21" s="30" t="inlineStr">
        <is>
          <t>Fresno</t>
        </is>
      </c>
      <c r="N21" s="34" t="n">
        <v>138085</v>
      </c>
      <c r="O21" s="35">
        <f>N21/N$8</f>
        <v/>
      </c>
      <c r="P21" s="51" t="n"/>
    </row>
    <row r="22" ht="15" customHeight="1">
      <c r="A22" s="29" t="n">
        <v>37</v>
      </c>
      <c r="B22" s="30" t="inlineStr">
        <is>
          <t>Fresno City</t>
        </is>
      </c>
      <c r="C22" s="31" t="n">
        <v>37104</v>
      </c>
      <c r="D22" s="50">
        <f>C22/C$8</f>
        <v/>
      </c>
      <c r="E22" s="31">
        <f>$D22*E$7*$H$3</f>
        <v/>
      </c>
      <c r="F22" s="31">
        <f>C22*F$7</f>
        <v/>
      </c>
      <c r="G22" s="31">
        <f>$D22*G$7*$H$3</f>
        <v/>
      </c>
      <c r="H22" s="31">
        <f>C22*H$7</f>
        <v/>
      </c>
      <c r="I22" s="31">
        <f>$D22*I$7*$H$3</f>
        <v/>
      </c>
      <c r="J22" s="31">
        <f>C22*J$7</f>
        <v/>
      </c>
      <c r="K22" s="41">
        <f>E22+G22+I22</f>
        <v/>
      </c>
      <c r="L22" s="30" t="inlineStr">
        <is>
          <t>State Center Community College District</t>
        </is>
      </c>
      <c r="M22" s="30" t="inlineStr">
        <is>
          <t>Fresno</t>
        </is>
      </c>
      <c r="N22" s="34" t="n">
        <v>138085</v>
      </c>
      <c r="O22" s="35">
        <f>N22/N$8</f>
        <v/>
      </c>
      <c r="P22" s="51" t="n"/>
    </row>
    <row r="23" ht="15" customHeight="1">
      <c r="A23" s="29" t="n">
        <v>83</v>
      </c>
      <c r="B23" s="30" t="inlineStr">
        <is>
          <t>Reedley College</t>
        </is>
      </c>
      <c r="C23" s="31" t="n">
        <v>13227</v>
      </c>
      <c r="D23" s="50">
        <f>C23/C$8</f>
        <v/>
      </c>
      <c r="E23" s="31">
        <f>$D23*E$7*$H$3</f>
        <v/>
      </c>
      <c r="F23" s="31">
        <f>C23*F$7</f>
        <v/>
      </c>
      <c r="G23" s="31">
        <f>$D23*G$7*$H$3</f>
        <v/>
      </c>
      <c r="H23" s="31">
        <f>C23*H$7</f>
        <v/>
      </c>
      <c r="I23" s="31">
        <f>$D23*I$7*$H$3</f>
        <v/>
      </c>
      <c r="J23" s="31">
        <f>C23*J$7</f>
        <v/>
      </c>
      <c r="K23" s="41">
        <f>E23+G23+I23</f>
        <v/>
      </c>
      <c r="L23" s="30" t="inlineStr">
        <is>
          <t>State Center Community College District</t>
        </is>
      </c>
      <c r="M23" s="30" t="inlineStr">
        <is>
          <t>Fresno</t>
        </is>
      </c>
      <c r="N23" s="34" t="n">
        <v>138085</v>
      </c>
      <c r="O23" s="35">
        <f>N23/N$8</f>
        <v/>
      </c>
      <c r="P23" s="51" t="n"/>
    </row>
    <row r="24" ht="15" customHeight="1">
      <c r="A24" s="29" t="n">
        <v>112</v>
      </c>
      <c r="B24" s="30" t="inlineStr">
        <is>
          <t>West Hills Coalinga</t>
        </is>
      </c>
      <c r="C24" s="31" t="n">
        <v>4595</v>
      </c>
      <c r="D24" s="50">
        <f>C24/C$8</f>
        <v/>
      </c>
      <c r="E24" s="31">
        <f>$D24*E$7*$H$3</f>
        <v/>
      </c>
      <c r="F24" s="31">
        <f>C24*F$7</f>
        <v/>
      </c>
      <c r="G24" s="31">
        <f>$D24*G$7*$H$3</f>
        <v/>
      </c>
      <c r="H24" s="31">
        <f>C24*H$7</f>
        <v/>
      </c>
      <c r="I24" s="31">
        <f>$D24*I$7*$H$3</f>
        <v/>
      </c>
      <c r="J24" s="31">
        <f>C24*J$7</f>
        <v/>
      </c>
      <c r="K24" s="41">
        <f>E24+G24+I24</f>
        <v/>
      </c>
      <c r="L24" s="30" t="inlineStr">
        <is>
          <t>West Hills Community College District</t>
        </is>
      </c>
      <c r="M24" s="30" t="inlineStr">
        <is>
          <t>Fresno</t>
        </is>
      </c>
      <c r="N24" s="34" t="n">
        <v>138085</v>
      </c>
      <c r="O24" s="35">
        <f>N24/N$8</f>
        <v/>
      </c>
      <c r="P24" s="51" t="n"/>
    </row>
    <row r="25" ht="15" customHeight="1">
      <c r="A25" s="29" t="n">
        <v>82</v>
      </c>
      <c r="B25" s="30" t="inlineStr">
        <is>
          <t>Redwoods</t>
        </is>
      </c>
      <c r="C25" s="31" t="n">
        <v>6544</v>
      </c>
      <c r="D25" s="50">
        <f>C25/C$8</f>
        <v/>
      </c>
      <c r="E25" s="31">
        <f>$D25*E$7*$H$3</f>
        <v/>
      </c>
      <c r="F25" s="31">
        <f>C25*F$7</f>
        <v/>
      </c>
      <c r="G25" s="31">
        <f>$D25*G$7*$H$3</f>
        <v/>
      </c>
      <c r="H25" s="31">
        <f>C25*H$7</f>
        <v/>
      </c>
      <c r="I25" s="31">
        <f>$D25*I$7*$H$3</f>
        <v/>
      </c>
      <c r="J25" s="31">
        <f>C25*J$7</f>
        <v/>
      </c>
      <c r="K25" s="41">
        <f>E25+G25+I25</f>
        <v/>
      </c>
      <c r="L25" s="30" t="inlineStr">
        <is>
          <t>Redwoods Community College District</t>
        </is>
      </c>
      <c r="M25" s="30" t="inlineStr">
        <is>
          <t>Humboldt</t>
        </is>
      </c>
      <c r="N25" s="34" t="n">
        <v>24550</v>
      </c>
      <c r="O25" s="35">
        <f>N25/N$8</f>
        <v/>
      </c>
      <c r="P25" s="51" t="n"/>
    </row>
    <row r="26" ht="15" customHeight="1">
      <c r="A26" s="29" t="n">
        <v>44</v>
      </c>
      <c r="B26" s="30" t="inlineStr">
        <is>
          <t>Imperial</t>
        </is>
      </c>
      <c r="C26" s="31" t="n">
        <v>11715</v>
      </c>
      <c r="D26" s="50">
        <f>C26/C$8</f>
        <v/>
      </c>
      <c r="E26" s="31">
        <f>$D26*E$7*$H$3</f>
        <v/>
      </c>
      <c r="F26" s="31">
        <f>C26*F$7</f>
        <v/>
      </c>
      <c r="G26" s="31">
        <f>$D26*G$7*$H$3</f>
        <v/>
      </c>
      <c r="H26" s="31">
        <f>C26*H$7</f>
        <v/>
      </c>
      <c r="I26" s="31">
        <f>$D26*I$7*$H$3</f>
        <v/>
      </c>
      <c r="J26" s="31">
        <f>C26*J$7</f>
        <v/>
      </c>
      <c r="K26" s="41">
        <f>E26+G26+I26</f>
        <v/>
      </c>
      <c r="L26" s="30" t="inlineStr">
        <is>
          <t>Imperial Community College District</t>
        </is>
      </c>
      <c r="M26" s="30" t="inlineStr">
        <is>
          <t>Imperial</t>
        </is>
      </c>
      <c r="N26" s="34" t="n">
        <v>23220</v>
      </c>
      <c r="O26" s="35">
        <f>N26/N$8</f>
        <v/>
      </c>
      <c r="P26" s="51" t="n"/>
    </row>
    <row r="27" ht="15" customHeight="1">
      <c r="A27" s="29" t="n">
        <v>5</v>
      </c>
      <c r="B27" s="30" t="inlineStr">
        <is>
          <t>Bakersfield</t>
        </is>
      </c>
      <c r="C27" s="31" t="n">
        <v>40496</v>
      </c>
      <c r="D27" s="50">
        <f>C27/C$8</f>
        <v/>
      </c>
      <c r="E27" s="31">
        <f>$D27*E$7*$H$3</f>
        <v/>
      </c>
      <c r="F27" s="31">
        <f>C27*F$7</f>
        <v/>
      </c>
      <c r="G27" s="31">
        <f>$D27*G$7*$H$3</f>
        <v/>
      </c>
      <c r="H27" s="31">
        <f>C27*H$7</f>
        <v/>
      </c>
      <c r="I27" s="31">
        <f>$D27*I$7*$H$3</f>
        <v/>
      </c>
      <c r="J27" s="31">
        <f>C27*J$7</f>
        <v/>
      </c>
      <c r="K27" s="41">
        <f>E27+G27+I27</f>
        <v/>
      </c>
      <c r="L27" s="30" t="inlineStr">
        <is>
          <t>Kern Community College District</t>
        </is>
      </c>
      <c r="M27" s="30" t="inlineStr">
        <is>
          <t>Kern</t>
        </is>
      </c>
      <c r="N27" s="34" t="n">
        <v>127203</v>
      </c>
      <c r="O27" s="35">
        <f>N27/N$8</f>
        <v/>
      </c>
      <c r="P27" s="51" t="n"/>
    </row>
    <row r="28" ht="15" customHeight="1">
      <c r="A28" s="29" t="n">
        <v>13</v>
      </c>
      <c r="B28" s="30" t="inlineStr">
        <is>
          <t>Cerro Coso</t>
        </is>
      </c>
      <c r="C28" s="31" t="n">
        <v>8144</v>
      </c>
      <c r="D28" s="50">
        <f>C28/C$8</f>
        <v/>
      </c>
      <c r="E28" s="31">
        <f>$D28*E$7*$H$3</f>
        <v/>
      </c>
      <c r="F28" s="31">
        <f>C28*F$7</f>
        <v/>
      </c>
      <c r="G28" s="31">
        <f>$D28*G$7*$H$3</f>
        <v/>
      </c>
      <c r="H28" s="31">
        <f>C28*H$7</f>
        <v/>
      </c>
      <c r="I28" s="31">
        <f>$D28*I$7*$H$3</f>
        <v/>
      </c>
      <c r="J28" s="31">
        <f>C28*J$7</f>
        <v/>
      </c>
      <c r="K28" s="41">
        <f>E28+G28+I28</f>
        <v/>
      </c>
      <c r="L28" s="30" t="inlineStr">
        <is>
          <t>Kern Community College District</t>
        </is>
      </c>
      <c r="M28" s="30" t="inlineStr">
        <is>
          <t>Kern</t>
        </is>
      </c>
      <c r="N28" s="34" t="n">
        <v>127203</v>
      </c>
      <c r="O28" s="35">
        <f>N28/N$8</f>
        <v/>
      </c>
      <c r="P28" s="51" t="n"/>
    </row>
    <row r="29" ht="15" customHeight="1">
      <c r="A29" s="29" t="n">
        <v>109</v>
      </c>
      <c r="B29" s="30" t="inlineStr">
        <is>
          <t>Taft</t>
        </is>
      </c>
      <c r="C29" s="31" t="n">
        <v>6861</v>
      </c>
      <c r="D29" s="50">
        <f>C29/C$8</f>
        <v/>
      </c>
      <c r="E29" s="31">
        <f>$D29*E$7*$H$3</f>
        <v/>
      </c>
      <c r="F29" s="31">
        <f>C29*F$7</f>
        <v/>
      </c>
      <c r="G29" s="31">
        <f>$D29*G$7*$H$3</f>
        <v/>
      </c>
      <c r="H29" s="31">
        <f>C29*H$7</f>
        <v/>
      </c>
      <c r="I29" s="31">
        <f>$D29*I$7*$H$3</f>
        <v/>
      </c>
      <c r="J29" s="31">
        <f>C29*J$7</f>
        <v/>
      </c>
      <c r="K29" s="41">
        <f>E29+G29+I29</f>
        <v/>
      </c>
      <c r="L29" s="30" t="inlineStr">
        <is>
          <t>West Kern Community College District</t>
        </is>
      </c>
      <c r="M29" s="30" t="inlineStr">
        <is>
          <t>Kern</t>
        </is>
      </c>
      <c r="N29" s="34" t="n">
        <v>127203</v>
      </c>
      <c r="O29" s="35">
        <f>N29/N$8</f>
        <v/>
      </c>
      <c r="P29" s="51" t="n"/>
    </row>
    <row r="30" ht="15" customHeight="1">
      <c r="A30" s="29" t="n">
        <v>113</v>
      </c>
      <c r="B30" s="30" t="inlineStr">
        <is>
          <t>West Hills Lemoore</t>
        </is>
      </c>
      <c r="C30" s="31" t="n">
        <v>6306</v>
      </c>
      <c r="D30" s="50">
        <f>C30/C$8</f>
        <v/>
      </c>
      <c r="E30" s="31">
        <f>$D30*E$7*$H$3</f>
        <v/>
      </c>
      <c r="F30" s="31">
        <f>C30*F$7</f>
        <v/>
      </c>
      <c r="G30" s="31">
        <f>$D30*G$7*$H$3</f>
        <v/>
      </c>
      <c r="H30" s="31">
        <f>C30*H$7</f>
        <v/>
      </c>
      <c r="I30" s="31">
        <f>$D30*I$7*$H$3</f>
        <v/>
      </c>
      <c r="J30" s="31">
        <f>C30*J$7</f>
        <v/>
      </c>
      <c r="K30" s="41">
        <f>E30+G30+I30</f>
        <v/>
      </c>
      <c r="L30" s="30" t="inlineStr">
        <is>
          <t>West Hills Community College District</t>
        </is>
      </c>
      <c r="M30" s="30" t="inlineStr">
        <is>
          <t>Kings</t>
        </is>
      </c>
      <c r="N30" s="34" t="n">
        <v>20828</v>
      </c>
      <c r="O30" s="35">
        <f>N30/N$8</f>
        <v/>
      </c>
      <c r="P30" s="51" t="n"/>
    </row>
    <row r="31" ht="15" customHeight="1">
      <c r="A31" s="29" t="n">
        <v>56</v>
      </c>
      <c r="B31" s="30" t="inlineStr">
        <is>
          <t>Lassen</t>
        </is>
      </c>
      <c r="C31" s="31" t="n">
        <v>3238</v>
      </c>
      <c r="D31" s="50">
        <f>C31/C$8</f>
        <v/>
      </c>
      <c r="E31" s="31">
        <f>$D31*E$7*$H$3</f>
        <v/>
      </c>
      <c r="F31" s="31">
        <f>C31*F$7</f>
        <v/>
      </c>
      <c r="G31" s="31">
        <f>$D31*G$7*$H$3</f>
        <v/>
      </c>
      <c r="H31" s="31">
        <f>C31*H$7</f>
        <v/>
      </c>
      <c r="I31" s="31">
        <f>$D31*I$7*$H$3</f>
        <v/>
      </c>
      <c r="J31" s="31">
        <f>C31*J$7</f>
        <v/>
      </c>
      <c r="K31" s="41">
        <f>E31+G31+I31</f>
        <v/>
      </c>
      <c r="L31" s="30" t="inlineStr">
        <is>
          <t>Lassen Community College District</t>
        </is>
      </c>
      <c r="M31" s="30" t="inlineStr">
        <is>
          <t>Lassen</t>
        </is>
      </c>
      <c r="N31" s="37" t="inlineStr">
        <is>
          <t>N/A*</t>
        </is>
      </c>
      <c r="O31" s="35">
        <f>N31/N$8</f>
        <v/>
      </c>
      <c r="P31" s="51" t="n"/>
    </row>
    <row r="32" ht="15" customHeight="1">
      <c r="A32" s="29" t="n">
        <v>4</v>
      </c>
      <c r="B32" s="30" t="inlineStr">
        <is>
          <t>Antelope Valley</t>
        </is>
      </c>
      <c r="C32" s="31" t="n">
        <v>15723</v>
      </c>
      <c r="D32" s="50">
        <f>C32/C$8</f>
        <v/>
      </c>
      <c r="E32" s="31">
        <f>$D32*E$7*$H$3</f>
        <v/>
      </c>
      <c r="F32" s="31">
        <f>C32*F$7</f>
        <v/>
      </c>
      <c r="G32" s="31">
        <f>$D32*G$7*$H$3</f>
        <v/>
      </c>
      <c r="H32" s="31">
        <f>C32*H$7</f>
        <v/>
      </c>
      <c r="I32" s="31">
        <f>$D32*I$7*$H$3</f>
        <v/>
      </c>
      <c r="J32" s="31">
        <f>C32*J$7</f>
        <v/>
      </c>
      <c r="K32" s="41">
        <f>E32+G32+I32</f>
        <v/>
      </c>
      <c r="L32" s="30" t="inlineStr">
        <is>
          <t>Antelope Valley Community College District</t>
        </is>
      </c>
      <c r="M32" s="30" t="inlineStr">
        <is>
          <t>Los Angeles</t>
        </is>
      </c>
      <c r="N32" s="34" t="n">
        <v>1200796</v>
      </c>
      <c r="O32" s="35">
        <f>N32/N$8</f>
        <v/>
      </c>
      <c r="P32" s="51" t="n"/>
    </row>
    <row r="33" ht="15" customHeight="1">
      <c r="A33" s="29" t="n">
        <v>11</v>
      </c>
      <c r="B33" s="30" t="inlineStr">
        <is>
          <t>Canyons</t>
        </is>
      </c>
      <c r="C33" s="31" t="n">
        <v>37173</v>
      </c>
      <c r="D33" s="50">
        <f>C33/C$8</f>
        <v/>
      </c>
      <c r="E33" s="31">
        <f>$D33*E$7*$H$3</f>
        <v/>
      </c>
      <c r="F33" s="31">
        <f>C33*F$7</f>
        <v/>
      </c>
      <c r="G33" s="31">
        <f>$D33*G$7*$H$3</f>
        <v/>
      </c>
      <c r="H33" s="31">
        <f>C33*H$7</f>
        <v/>
      </c>
      <c r="I33" s="31">
        <f>$D33*I$7*$H$3</f>
        <v/>
      </c>
      <c r="J33" s="31">
        <f>C33*J$7</f>
        <v/>
      </c>
      <c r="K33" s="41">
        <f>E33+G33+I33</f>
        <v/>
      </c>
      <c r="L33" s="30" t="inlineStr">
        <is>
          <t>Santa Clarita Community College District</t>
        </is>
      </c>
      <c r="M33" s="30" t="inlineStr">
        <is>
          <t>Los Angeles</t>
        </is>
      </c>
      <c r="N33" s="34" t="n">
        <v>1200796</v>
      </c>
      <c r="O33" s="35">
        <f>N33/N$8</f>
        <v/>
      </c>
      <c r="P33" s="51" t="n"/>
    </row>
    <row r="34" ht="15" customHeight="1">
      <c r="A34" s="29" t="n">
        <v>12</v>
      </c>
      <c r="B34" s="30" t="inlineStr">
        <is>
          <t>Cerritos</t>
        </is>
      </c>
      <c r="C34" s="31" t="n">
        <v>30614</v>
      </c>
      <c r="D34" s="50">
        <f>C34/C$8</f>
        <v/>
      </c>
      <c r="E34" s="31">
        <f>$D34*E$7*$H$3</f>
        <v/>
      </c>
      <c r="F34" s="31">
        <f>C34*F$7</f>
        <v/>
      </c>
      <c r="G34" s="31">
        <f>$D34*G$7*$H$3</f>
        <v/>
      </c>
      <c r="H34" s="31">
        <f>C34*H$7</f>
        <v/>
      </c>
      <c r="I34" s="31">
        <f>$D34*I$7*$H$3</f>
        <v/>
      </c>
      <c r="J34" s="31">
        <f>C34*J$7</f>
        <v/>
      </c>
      <c r="K34" s="41">
        <f>E34+G34+I34</f>
        <v/>
      </c>
      <c r="L34" s="30" t="inlineStr">
        <is>
          <t>Cerritos Community College District</t>
        </is>
      </c>
      <c r="M34" s="30" t="inlineStr">
        <is>
          <t>Los Angeles</t>
        </is>
      </c>
      <c r="N34" s="34" t="n">
        <v>1200796</v>
      </c>
      <c r="O34" s="35">
        <f>N34/N$8</f>
        <v/>
      </c>
      <c r="P34" s="51" t="n"/>
    </row>
    <row r="35" ht="15" customHeight="1">
      <c r="A35" s="29" t="n">
        <v>16</v>
      </c>
      <c r="B35" s="30" t="inlineStr">
        <is>
          <t>Citrus</t>
        </is>
      </c>
      <c r="C35" s="31" t="n">
        <v>16383</v>
      </c>
      <c r="D35" s="50">
        <f>C35/C$8</f>
        <v/>
      </c>
      <c r="E35" s="31">
        <f>$D35*E$7*$H$3</f>
        <v/>
      </c>
      <c r="F35" s="31">
        <f>C35*F$7</f>
        <v/>
      </c>
      <c r="G35" s="31">
        <f>$D35*G$7*$H$3</f>
        <v/>
      </c>
      <c r="H35" s="31">
        <f>C35*H$7</f>
        <v/>
      </c>
      <c r="I35" s="31">
        <f>$D35*I$7*$H$3</f>
        <v/>
      </c>
      <c r="J35" s="31">
        <f>C35*J$7</f>
        <v/>
      </c>
      <c r="K35" s="41">
        <f>E35+G35+I35</f>
        <v/>
      </c>
      <c r="L35" s="30" t="inlineStr">
        <is>
          <t>Citrus Community College District</t>
        </is>
      </c>
      <c r="M35" s="30" t="inlineStr">
        <is>
          <t>Los Angeles</t>
        </is>
      </c>
      <c r="N35" s="34" t="n">
        <v>1200796</v>
      </c>
      <c r="O35" s="35">
        <f>N35/N$8</f>
        <v/>
      </c>
      <c r="P35" s="51" t="n"/>
    </row>
    <row r="36" ht="15" customHeight="1">
      <c r="A36" s="29" t="n">
        <v>20</v>
      </c>
      <c r="B36" s="30" t="inlineStr">
        <is>
          <t>Compton</t>
        </is>
      </c>
      <c r="C36" s="31" t="n">
        <v>6097</v>
      </c>
      <c r="D36" s="50">
        <f>C36/C$8</f>
        <v/>
      </c>
      <c r="E36" s="31">
        <f>$D36*E$7*$H$3</f>
        <v/>
      </c>
      <c r="F36" s="31">
        <f>C36*F$7</f>
        <v/>
      </c>
      <c r="G36" s="31">
        <f>$D36*G$7*$H$3</f>
        <v/>
      </c>
      <c r="H36" s="31">
        <f>C36*H$7</f>
        <v/>
      </c>
      <c r="I36" s="31">
        <f>$D36*I$7*$H$3</f>
        <v/>
      </c>
      <c r="J36" s="31">
        <f>C36*J$7</f>
        <v/>
      </c>
      <c r="K36" s="41">
        <f>E36+G36+I36</f>
        <v/>
      </c>
      <c r="L36" s="30" t="inlineStr">
        <is>
          <t>Compton Community College District</t>
        </is>
      </c>
      <c r="M36" s="30" t="inlineStr">
        <is>
          <t>Los Angeles</t>
        </is>
      </c>
      <c r="N36" s="34" t="n">
        <v>1200796</v>
      </c>
      <c r="O36" s="35">
        <f>N36/N$8</f>
        <v/>
      </c>
      <c r="P36" s="51" t="n"/>
    </row>
    <row r="37" ht="15" customHeight="1">
      <c r="A37" s="29" t="n">
        <v>31</v>
      </c>
      <c r="B37" s="30" t="inlineStr">
        <is>
          <t>East LA</t>
        </is>
      </c>
      <c r="C37" s="31" t="n">
        <v>55291</v>
      </c>
      <c r="D37" s="50">
        <f>C37/C$8</f>
        <v/>
      </c>
      <c r="E37" s="31">
        <f>$D37*E$7*$H$3</f>
        <v/>
      </c>
      <c r="F37" s="31">
        <f>C37*F$7</f>
        <v/>
      </c>
      <c r="G37" s="31">
        <f>$D37*G$7*$H$3</f>
        <v/>
      </c>
      <c r="H37" s="31">
        <f>C37*H$7</f>
        <v/>
      </c>
      <c r="I37" s="31">
        <f>$D37*I$7*$H$3</f>
        <v/>
      </c>
      <c r="J37" s="31">
        <f>C37*J$7</f>
        <v/>
      </c>
      <c r="K37" s="41">
        <f>E37+G37+I37</f>
        <v/>
      </c>
      <c r="L37" s="30" t="inlineStr">
        <is>
          <t>Los Angeles Community College District</t>
        </is>
      </c>
      <c r="M37" s="30" t="inlineStr">
        <is>
          <t>Los Angeles</t>
        </is>
      </c>
      <c r="N37" s="34" t="n">
        <v>1200796</v>
      </c>
      <c r="O37" s="35">
        <f>N37/N$8</f>
        <v/>
      </c>
      <c r="P37" s="51" t="n"/>
    </row>
    <row r="38" ht="15" customHeight="1">
      <c r="A38" s="29" t="n">
        <v>32</v>
      </c>
      <c r="B38" s="30" t="inlineStr">
        <is>
          <t>El Camino</t>
        </is>
      </c>
      <c r="C38" s="31" t="n">
        <v>30575</v>
      </c>
      <c r="D38" s="50">
        <f>C38/C$8</f>
        <v/>
      </c>
      <c r="E38" s="31">
        <f>$D38*E$7*$H$3</f>
        <v/>
      </c>
      <c r="F38" s="31">
        <f>C38*F$7</f>
        <v/>
      </c>
      <c r="G38" s="31">
        <f>$D38*G$7*$H$3</f>
        <v/>
      </c>
      <c r="H38" s="31">
        <f>C38*H$7</f>
        <v/>
      </c>
      <c r="I38" s="31">
        <f>$D38*I$7*$H$3</f>
        <v/>
      </c>
      <c r="J38" s="31">
        <f>C38*J$7</f>
        <v/>
      </c>
      <c r="K38" s="41">
        <f>E38+G38+I38</f>
        <v/>
      </c>
      <c r="L38" s="30" t="inlineStr">
        <is>
          <t>El Camino Community College District</t>
        </is>
      </c>
      <c r="M38" s="30" t="inlineStr">
        <is>
          <t>Los Angeles</t>
        </is>
      </c>
      <c r="N38" s="34" t="n">
        <v>1200796</v>
      </c>
      <c r="O38" s="35">
        <f>N38/N$8</f>
        <v/>
      </c>
      <c r="P38" s="51" t="n"/>
    </row>
    <row r="39" ht="15" customHeight="1">
      <c r="A39" s="29" t="n">
        <v>40</v>
      </c>
      <c r="B39" s="30" t="inlineStr">
        <is>
          <t>Glendale</t>
        </is>
      </c>
      <c r="C39" s="31" t="n">
        <v>21852</v>
      </c>
      <c r="D39" s="50">
        <f>C39/C$8</f>
        <v/>
      </c>
      <c r="E39" s="31">
        <f>$D39*E$7*$H$3</f>
        <v/>
      </c>
      <c r="F39" s="31">
        <f>C39*F$7</f>
        <v/>
      </c>
      <c r="G39" s="31">
        <f>$D39*G$7*$H$3</f>
        <v/>
      </c>
      <c r="H39" s="31">
        <f>C39*H$7</f>
        <v/>
      </c>
      <c r="I39" s="31">
        <f>$D39*I$7*$H$3</f>
        <v/>
      </c>
      <c r="J39" s="31">
        <f>C39*J$7</f>
        <v/>
      </c>
      <c r="K39" s="41">
        <f>E39+G39+I39</f>
        <v/>
      </c>
      <c r="L39" s="30" t="inlineStr">
        <is>
          <t>Glendale Community College District</t>
        </is>
      </c>
      <c r="M39" s="30" t="inlineStr">
        <is>
          <t>Los Angeles</t>
        </is>
      </c>
      <c r="N39" s="34" t="n">
        <v>1200796</v>
      </c>
      <c r="O39" s="35">
        <f>N39/N$8</f>
        <v/>
      </c>
      <c r="P39" s="51" t="n"/>
    </row>
    <row r="40" ht="15" customHeight="1">
      <c r="A40" s="29" t="n">
        <v>46</v>
      </c>
      <c r="B40" s="30" t="inlineStr">
        <is>
          <t>LA City</t>
        </is>
      </c>
      <c r="C40" s="31" t="n">
        <v>28134</v>
      </c>
      <c r="D40" s="50">
        <f>C40/C$8</f>
        <v/>
      </c>
      <c r="E40" s="31">
        <f>$D40*E$7*$H$3</f>
        <v/>
      </c>
      <c r="F40" s="31">
        <f>C40*F$7</f>
        <v/>
      </c>
      <c r="G40" s="31">
        <f>$D40*G$7*$H$3</f>
        <v/>
      </c>
      <c r="H40" s="31">
        <f>C40*H$7</f>
        <v/>
      </c>
      <c r="I40" s="31">
        <f>$D40*I$7*$H$3</f>
        <v/>
      </c>
      <c r="J40" s="31">
        <f>C40*J$7</f>
        <v/>
      </c>
      <c r="K40" s="41">
        <f>E40+G40+I40</f>
        <v/>
      </c>
      <c r="L40" s="30" t="inlineStr">
        <is>
          <t>Los Angeles Community College District</t>
        </is>
      </c>
      <c r="M40" s="30" t="inlineStr">
        <is>
          <t>Los Angeles</t>
        </is>
      </c>
      <c r="N40" s="34" t="n">
        <v>1200796</v>
      </c>
      <c r="O40" s="35">
        <f>N40/N$8</f>
        <v/>
      </c>
      <c r="P40" s="51" t="n"/>
    </row>
    <row r="41" ht="15" customHeight="1">
      <c r="A41" s="29" t="n">
        <v>47</v>
      </c>
      <c r="B41" s="30" t="inlineStr">
        <is>
          <t>LA Harbor</t>
        </is>
      </c>
      <c r="C41" s="31" t="n">
        <v>13692</v>
      </c>
      <c r="D41" s="50">
        <f>C41/C$8</f>
        <v/>
      </c>
      <c r="E41" s="31">
        <f>$D41*E$7*$H$3</f>
        <v/>
      </c>
      <c r="F41" s="31">
        <f>C41*F$7</f>
        <v/>
      </c>
      <c r="G41" s="31">
        <f>$D41*G$7*$H$3</f>
        <v/>
      </c>
      <c r="H41" s="31">
        <f>C41*H$7</f>
        <v/>
      </c>
      <c r="I41" s="31">
        <f>$D41*I$7*$H$3</f>
        <v/>
      </c>
      <c r="J41" s="31">
        <f>C41*J$7</f>
        <v/>
      </c>
      <c r="K41" s="41">
        <f>E41+G41+I41</f>
        <v/>
      </c>
      <c r="L41" s="30" t="inlineStr">
        <is>
          <t>Los Angeles Community College District</t>
        </is>
      </c>
      <c r="M41" s="30" t="inlineStr">
        <is>
          <t>Los Angeles</t>
        </is>
      </c>
      <c r="N41" s="34" t="n">
        <v>1200796</v>
      </c>
      <c r="O41" s="35">
        <f>N41/N$8</f>
        <v/>
      </c>
      <c r="P41" s="51" t="n"/>
    </row>
    <row r="42" ht="15" customHeight="1">
      <c r="A42" s="29" t="n">
        <v>48</v>
      </c>
      <c r="B42" s="30" t="inlineStr">
        <is>
          <t>LA Mission</t>
        </is>
      </c>
      <c r="C42" s="31" t="n">
        <v>18275</v>
      </c>
      <c r="D42" s="50">
        <f>C42/C$8</f>
        <v/>
      </c>
      <c r="E42" s="31">
        <f>$D42*E$7*$H$3</f>
        <v/>
      </c>
      <c r="F42" s="31">
        <f>C42*F$7</f>
        <v/>
      </c>
      <c r="G42" s="31">
        <f>$D42*G$7*$H$3</f>
        <v/>
      </c>
      <c r="H42" s="31">
        <f>C42*H$7</f>
        <v/>
      </c>
      <c r="I42" s="31">
        <f>$D42*I$7*$H$3</f>
        <v/>
      </c>
      <c r="J42" s="31">
        <f>C42*J$7</f>
        <v/>
      </c>
      <c r="K42" s="41">
        <f>E42+G42+I42</f>
        <v/>
      </c>
      <c r="L42" s="30" t="inlineStr">
        <is>
          <t>Los Angeles Community College District</t>
        </is>
      </c>
      <c r="M42" s="30" t="inlineStr">
        <is>
          <t>Los Angeles</t>
        </is>
      </c>
      <c r="N42" s="34" t="n">
        <v>1200796</v>
      </c>
      <c r="O42" s="35">
        <f>N42/N$8</f>
        <v/>
      </c>
      <c r="P42" s="51" t="n"/>
    </row>
    <row r="43" ht="15" customHeight="1">
      <c r="A43" s="29" t="n">
        <v>49</v>
      </c>
      <c r="B43" s="30" t="inlineStr">
        <is>
          <t>LA Pierce</t>
        </is>
      </c>
      <c r="C43" s="31" t="n">
        <v>26326</v>
      </c>
      <c r="D43" s="50">
        <f>C43/C$8</f>
        <v/>
      </c>
      <c r="E43" s="31">
        <f>$D43*E$7*$H$3</f>
        <v/>
      </c>
      <c r="F43" s="31">
        <f>C43*F$7</f>
        <v/>
      </c>
      <c r="G43" s="31">
        <f>$D43*G$7*$H$3</f>
        <v/>
      </c>
      <c r="H43" s="31">
        <f>C43*H$7</f>
        <v/>
      </c>
      <c r="I43" s="31">
        <f>$D43*I$7*$H$3</f>
        <v/>
      </c>
      <c r="J43" s="31">
        <f>C43*J$7</f>
        <v/>
      </c>
      <c r="K43" s="41">
        <f>E43+G43+I43</f>
        <v/>
      </c>
      <c r="L43" s="30" t="inlineStr">
        <is>
          <t>Los Angeles Community College District</t>
        </is>
      </c>
      <c r="M43" s="30" t="inlineStr">
        <is>
          <t>Los Angeles</t>
        </is>
      </c>
      <c r="N43" s="34" t="n">
        <v>1200796</v>
      </c>
      <c r="O43" s="35">
        <f>N43/N$8</f>
        <v/>
      </c>
      <c r="P43" s="51" t="n"/>
    </row>
    <row r="44" ht="15" customHeight="1">
      <c r="A44" s="29" t="n">
        <v>50</v>
      </c>
      <c r="B44" s="30" t="inlineStr">
        <is>
          <t>LA Swest</t>
        </is>
      </c>
      <c r="C44" s="31" t="n">
        <v>10947</v>
      </c>
      <c r="D44" s="50">
        <f>C44/C$8</f>
        <v/>
      </c>
      <c r="E44" s="31">
        <f>$D44*E$7*$H$3</f>
        <v/>
      </c>
      <c r="F44" s="31">
        <f>C44*F$7</f>
        <v/>
      </c>
      <c r="G44" s="31">
        <f>$D44*G$7*$H$3</f>
        <v/>
      </c>
      <c r="H44" s="31">
        <f>C44*H$7</f>
        <v/>
      </c>
      <c r="I44" s="31">
        <f>$D44*I$7*$H$3</f>
        <v/>
      </c>
      <c r="J44" s="31">
        <f>C44*J$7</f>
        <v/>
      </c>
      <c r="K44" s="41">
        <f>E44+G44+I44</f>
        <v/>
      </c>
      <c r="L44" s="30" t="inlineStr">
        <is>
          <t>Los Angeles Community College District</t>
        </is>
      </c>
      <c r="M44" s="30" t="inlineStr">
        <is>
          <t>Los Angeles</t>
        </is>
      </c>
      <c r="N44" s="34" t="n">
        <v>1200796</v>
      </c>
      <c r="O44" s="35">
        <f>N44/N$8</f>
        <v/>
      </c>
      <c r="P44" s="51" t="n"/>
    </row>
    <row r="45" ht="15" customHeight="1">
      <c r="A45" s="29" t="n">
        <v>51</v>
      </c>
      <c r="B45" s="30" t="inlineStr">
        <is>
          <t>LA Trade</t>
        </is>
      </c>
      <c r="C45" s="31" t="n">
        <v>19286</v>
      </c>
      <c r="D45" s="50">
        <f>C45/C$8</f>
        <v/>
      </c>
      <c r="E45" s="31">
        <f>$D45*E$7*$H$3</f>
        <v/>
      </c>
      <c r="F45" s="31">
        <f>C45*F$7</f>
        <v/>
      </c>
      <c r="G45" s="31">
        <f>$D45*G$7*$H$3</f>
        <v/>
      </c>
      <c r="H45" s="31">
        <f>C45*H$7</f>
        <v/>
      </c>
      <c r="I45" s="31">
        <f>$D45*I$7*$H$3</f>
        <v/>
      </c>
      <c r="J45" s="31">
        <f>C45*J$7</f>
        <v/>
      </c>
      <c r="K45" s="41">
        <f>E45+G45+I45</f>
        <v/>
      </c>
      <c r="L45" s="30" t="inlineStr">
        <is>
          <t>Los Angeles Community College District</t>
        </is>
      </c>
      <c r="M45" s="30" t="inlineStr">
        <is>
          <t>Los Angeles</t>
        </is>
      </c>
      <c r="N45" s="34" t="n">
        <v>1200796</v>
      </c>
      <c r="O45" s="35">
        <f>N45/N$8</f>
        <v/>
      </c>
      <c r="P45" s="51" t="n"/>
    </row>
    <row r="46" ht="15" customHeight="1">
      <c r="A46" s="29" t="n">
        <v>52</v>
      </c>
      <c r="B46" s="30" t="inlineStr">
        <is>
          <t>LA Valley</t>
        </is>
      </c>
      <c r="C46" s="31" t="n">
        <v>27178</v>
      </c>
      <c r="D46" s="50">
        <f>C46/C$8</f>
        <v/>
      </c>
      <c r="E46" s="31">
        <f>$D46*E$7*$H$3</f>
        <v/>
      </c>
      <c r="F46" s="31">
        <f>C46*F$7</f>
        <v/>
      </c>
      <c r="G46" s="31">
        <f>$D46*G$7*$H$3</f>
        <v/>
      </c>
      <c r="H46" s="31">
        <f>C46*H$7</f>
        <v/>
      </c>
      <c r="I46" s="31">
        <f>$D46*I$7*$H$3</f>
        <v/>
      </c>
      <c r="J46" s="31">
        <f>C46*J$7</f>
        <v/>
      </c>
      <c r="K46" s="41">
        <f>E46+G46+I46</f>
        <v/>
      </c>
      <c r="L46" s="30" t="inlineStr">
        <is>
          <t>Los Angeles Community College District</t>
        </is>
      </c>
      <c r="M46" s="30" t="inlineStr">
        <is>
          <t>Los Angeles</t>
        </is>
      </c>
      <c r="N46" s="34" t="n">
        <v>1200796</v>
      </c>
      <c r="O46" s="35">
        <f>N46/N$8</f>
        <v/>
      </c>
      <c r="P46" s="51" t="n"/>
    </row>
    <row r="47" ht="15" customHeight="1">
      <c r="A47" s="29" t="n">
        <v>57</v>
      </c>
      <c r="B47" s="30" t="inlineStr">
        <is>
          <t>Long Beach</t>
        </is>
      </c>
      <c r="C47" s="31" t="n">
        <v>34680</v>
      </c>
      <c r="D47" s="50">
        <f>C47/C$8</f>
        <v/>
      </c>
      <c r="E47" s="31">
        <f>$D47*E$7*$H$3</f>
        <v/>
      </c>
      <c r="F47" s="31">
        <f>C47*F$7</f>
        <v/>
      </c>
      <c r="G47" s="31">
        <f>$D47*G$7*$H$3</f>
        <v/>
      </c>
      <c r="H47" s="31">
        <f>C47*H$7</f>
        <v/>
      </c>
      <c r="I47" s="31">
        <f>$D47*I$7*$H$3</f>
        <v/>
      </c>
      <c r="J47" s="31">
        <f>C47*J$7</f>
        <v/>
      </c>
      <c r="K47" s="41">
        <f>E47+G47+I47</f>
        <v/>
      </c>
      <c r="L47" s="30" t="inlineStr">
        <is>
          <t>Long Beach Community College District</t>
        </is>
      </c>
      <c r="M47" s="30" t="inlineStr">
        <is>
          <t>Los Angeles</t>
        </is>
      </c>
      <c r="N47" s="34" t="n">
        <v>1200796</v>
      </c>
      <c r="O47" s="35">
        <f>N47/N$8</f>
        <v/>
      </c>
      <c r="P47" s="51" t="n"/>
    </row>
    <row r="48" ht="15" customHeight="1">
      <c r="A48" s="29" t="n">
        <v>70</v>
      </c>
      <c r="B48" s="30" t="inlineStr">
        <is>
          <t>Mt San Antonio</t>
        </is>
      </c>
      <c r="C48" s="31" t="n">
        <v>66445</v>
      </c>
      <c r="D48" s="50">
        <f>C48/C$8</f>
        <v/>
      </c>
      <c r="E48" s="31">
        <f>$D48*E$7*$H$3</f>
        <v/>
      </c>
      <c r="F48" s="31">
        <f>C48*F$7</f>
        <v/>
      </c>
      <c r="G48" s="31">
        <f>$D48*G$7*$H$3</f>
        <v/>
      </c>
      <c r="H48" s="31">
        <f>C48*H$7</f>
        <v/>
      </c>
      <c r="I48" s="31">
        <f>$D48*I$7*$H$3</f>
        <v/>
      </c>
      <c r="J48" s="31">
        <f>C48*J$7</f>
        <v/>
      </c>
      <c r="K48" s="41">
        <f>E48+G48+I48</f>
        <v/>
      </c>
      <c r="L48" s="30" t="inlineStr">
        <is>
          <t>Mt. San Antonio Community College District</t>
        </is>
      </c>
      <c r="M48" s="30" t="inlineStr">
        <is>
          <t>Los Angeles</t>
        </is>
      </c>
      <c r="N48" s="34" t="n">
        <v>1200796</v>
      </c>
      <c r="O48" s="35">
        <f>N48/N$8</f>
        <v/>
      </c>
      <c r="P48" s="51" t="n"/>
    </row>
    <row r="49" ht="15" customHeight="1">
      <c r="A49" s="29" t="n">
        <v>80</v>
      </c>
      <c r="B49" s="30" t="inlineStr">
        <is>
          <t>Pasadena</t>
        </is>
      </c>
      <c r="C49" s="31" t="n">
        <v>33670</v>
      </c>
      <c r="D49" s="50">
        <f>C49/C$8</f>
        <v/>
      </c>
      <c r="E49" s="31">
        <f>$D49*E$7*$H$3</f>
        <v/>
      </c>
      <c r="F49" s="31">
        <f>C49*F$7</f>
        <v/>
      </c>
      <c r="G49" s="31">
        <f>$D49*G$7*$H$3</f>
        <v/>
      </c>
      <c r="H49" s="31">
        <f>C49*H$7</f>
        <v/>
      </c>
      <c r="I49" s="31">
        <f>$D49*I$7*$H$3</f>
        <v/>
      </c>
      <c r="J49" s="31">
        <f>C49*J$7</f>
        <v/>
      </c>
      <c r="K49" s="41">
        <f>E49+G49+I49</f>
        <v/>
      </c>
      <c r="L49" s="30" t="inlineStr">
        <is>
          <t>Pasadena Area Community College District</t>
        </is>
      </c>
      <c r="M49" s="30" t="inlineStr">
        <is>
          <t>Los Angeles</t>
        </is>
      </c>
      <c r="N49" s="34" t="n">
        <v>1200796</v>
      </c>
      <c r="O49" s="35">
        <f>N49/N$8</f>
        <v/>
      </c>
      <c r="P49" s="51" t="n"/>
    </row>
    <row r="50" ht="15" customHeight="1">
      <c r="A50" s="29" t="n">
        <v>84</v>
      </c>
      <c r="B50" s="30" t="inlineStr">
        <is>
          <t>Rio Hondo</t>
        </is>
      </c>
      <c r="C50" s="31" t="n">
        <v>28241</v>
      </c>
      <c r="D50" s="50">
        <f>C50/C$8</f>
        <v/>
      </c>
      <c r="E50" s="31">
        <f>$D50*E$7*$H$3</f>
        <v/>
      </c>
      <c r="F50" s="31">
        <f>C50*F$7</f>
        <v/>
      </c>
      <c r="G50" s="31">
        <f>$D50*G$7*$H$3</f>
        <v/>
      </c>
      <c r="H50" s="31">
        <f>C50*H$7</f>
        <v/>
      </c>
      <c r="I50" s="31">
        <f>$D50*I$7*$H$3</f>
        <v/>
      </c>
      <c r="J50" s="31">
        <f>C50*J$7</f>
        <v/>
      </c>
      <c r="K50" s="41">
        <f>E50+G50+I50</f>
        <v/>
      </c>
      <c r="L50" s="30" t="inlineStr">
        <is>
          <t>Rio Hondo Community College District</t>
        </is>
      </c>
      <c r="M50" s="30" t="inlineStr">
        <is>
          <t>Los Angeles</t>
        </is>
      </c>
      <c r="N50" s="34" t="n">
        <v>1200796</v>
      </c>
      <c r="O50" s="35">
        <f>N50/N$8</f>
        <v/>
      </c>
      <c r="P50" s="51" t="n"/>
    </row>
    <row r="51" ht="15" customHeight="1">
      <c r="A51" s="29" t="n">
        <v>99</v>
      </c>
      <c r="B51" s="30" t="inlineStr">
        <is>
          <t>Santa Monica</t>
        </is>
      </c>
      <c r="C51" s="31" t="n">
        <v>37289</v>
      </c>
      <c r="D51" s="50">
        <f>C51/C$8</f>
        <v/>
      </c>
      <c r="E51" s="31">
        <f>$D51*E$7*$H$3</f>
        <v/>
      </c>
      <c r="F51" s="31">
        <f>C51*F$7</f>
        <v/>
      </c>
      <c r="G51" s="31">
        <f>$D51*G$7*$H$3</f>
        <v/>
      </c>
      <c r="H51" s="31">
        <f>C51*H$7</f>
        <v/>
      </c>
      <c r="I51" s="31">
        <f>$D51*I$7*$H$3</f>
        <v/>
      </c>
      <c r="J51" s="31">
        <f>C51*J$7</f>
        <v/>
      </c>
      <c r="K51" s="41">
        <f>E51+G51+I51</f>
        <v/>
      </c>
      <c r="L51" s="30" t="inlineStr">
        <is>
          <t>Santa Monica Community College District</t>
        </is>
      </c>
      <c r="M51" s="30" t="inlineStr">
        <is>
          <t>Los Angeles</t>
        </is>
      </c>
      <c r="N51" s="34" t="n">
        <v>1200796</v>
      </c>
      <c r="O51" s="35">
        <f>N51/N$8</f>
        <v/>
      </c>
      <c r="P51" s="51" t="n"/>
    </row>
    <row r="52" ht="15" customHeight="1">
      <c r="A52" s="29" t="n">
        <v>114</v>
      </c>
      <c r="B52" s="30" t="inlineStr">
        <is>
          <t>West LA</t>
        </is>
      </c>
      <c r="C52" s="31" t="n">
        <v>18347</v>
      </c>
      <c r="D52" s="50">
        <f>C52/C$8</f>
        <v/>
      </c>
      <c r="E52" s="31">
        <f>$D52*E$7*$H$3</f>
        <v/>
      </c>
      <c r="F52" s="31">
        <f>C52*F$7</f>
        <v/>
      </c>
      <c r="G52" s="31">
        <f>$D52*G$7*$H$3</f>
        <v/>
      </c>
      <c r="H52" s="31">
        <f>C52*H$7</f>
        <v/>
      </c>
      <c r="I52" s="31">
        <f>$D52*I$7*$H$3</f>
        <v/>
      </c>
      <c r="J52" s="31">
        <f>C52*J$7</f>
        <v/>
      </c>
      <c r="K52" s="41">
        <f>E52+G52+I52</f>
        <v/>
      </c>
      <c r="L52" s="30" t="inlineStr">
        <is>
          <t>Los Angeles Community College District</t>
        </is>
      </c>
      <c r="M52" s="30" t="inlineStr">
        <is>
          <t>Los Angeles</t>
        </is>
      </c>
      <c r="N52" s="34" t="n">
        <v>1200796</v>
      </c>
      <c r="O52" s="35">
        <f>N52/N$8</f>
        <v/>
      </c>
      <c r="P52" s="51" t="n"/>
    </row>
    <row r="53" ht="15" customHeight="1">
      <c r="A53" s="29" t="n">
        <v>59</v>
      </c>
      <c r="B53" s="30" t="inlineStr">
        <is>
          <t>Madera</t>
        </is>
      </c>
      <c r="C53" s="31" t="n">
        <v>9464</v>
      </c>
      <c r="D53" s="50">
        <f>C53/C$8</f>
        <v/>
      </c>
      <c r="E53" s="31">
        <f>$D53*E$7*$H$3</f>
        <v/>
      </c>
      <c r="F53" s="31">
        <f>C53*F$7</f>
        <v/>
      </c>
      <c r="G53" s="31">
        <f>$D53*G$7*$H$3</f>
        <v/>
      </c>
      <c r="H53" s="31">
        <f>C53*H$7</f>
        <v/>
      </c>
      <c r="I53" s="31">
        <f>$D53*I$7*$H$3</f>
        <v/>
      </c>
      <c r="J53" s="31">
        <f>C53*J$7</f>
        <v/>
      </c>
      <c r="K53" s="41">
        <f>E53+G53+I53</f>
        <v/>
      </c>
      <c r="L53" s="30" t="inlineStr">
        <is>
          <t>State Center Community College District</t>
        </is>
      </c>
      <c r="M53" s="30" t="inlineStr">
        <is>
          <t>Madera</t>
        </is>
      </c>
      <c r="N53" s="34" t="n">
        <v>21685</v>
      </c>
      <c r="O53" s="35">
        <f>N53/N$8</f>
        <v/>
      </c>
      <c r="P53" s="51" t="n"/>
    </row>
    <row r="54" ht="15" customHeight="1">
      <c r="A54" s="29" t="n">
        <v>60</v>
      </c>
      <c r="B54" s="30" t="inlineStr">
        <is>
          <t>Marin</t>
        </is>
      </c>
      <c r="C54" s="31" t="n">
        <v>7996</v>
      </c>
      <c r="D54" s="50">
        <f>C54/C$8</f>
        <v/>
      </c>
      <c r="E54" s="31">
        <f>$D54*E$7*$H$3</f>
        <v/>
      </c>
      <c r="F54" s="31">
        <f>C54*F$7</f>
        <v/>
      </c>
      <c r="G54" s="31">
        <f>$D54*G$7*$H$3</f>
        <v/>
      </c>
      <c r="H54" s="31">
        <f>C54*H$7</f>
        <v/>
      </c>
      <c r="I54" s="31">
        <f>$D54*I$7*$H$3</f>
        <v/>
      </c>
      <c r="J54" s="31">
        <f>C54*J$7</f>
        <v/>
      </c>
      <c r="K54" s="41">
        <f>E54+G54+I54</f>
        <v/>
      </c>
      <c r="L54" s="30" t="inlineStr">
        <is>
          <t>Marin Community College District</t>
        </is>
      </c>
      <c r="M54" s="30" t="inlineStr">
        <is>
          <t>Marin</t>
        </is>
      </c>
      <c r="N54" s="34" t="n">
        <v>25654</v>
      </c>
      <c r="O54" s="35">
        <f>N54/N$8</f>
        <v/>
      </c>
      <c r="P54" s="51" t="n"/>
    </row>
    <row r="55" ht="15" customHeight="1">
      <c r="A55" s="29" t="n">
        <v>61</v>
      </c>
      <c r="B55" s="30" t="inlineStr">
        <is>
          <t>Mendocino</t>
        </is>
      </c>
      <c r="C55" s="31" t="n">
        <v>6759</v>
      </c>
      <c r="D55" s="50">
        <f>C55/C$8</f>
        <v/>
      </c>
      <c r="E55" s="31">
        <f>$D55*E$7*$H$3</f>
        <v/>
      </c>
      <c r="F55" s="31">
        <f>C55*F$7</f>
        <v/>
      </c>
      <c r="G55" s="31">
        <f>$D55*G$7*$H$3</f>
        <v/>
      </c>
      <c r="H55" s="31">
        <f>C55*H$7</f>
        <v/>
      </c>
      <c r="I55" s="31">
        <f>$D55*I$7*$H$3</f>
        <v/>
      </c>
      <c r="J55" s="31">
        <f>C55*J$7</f>
        <v/>
      </c>
      <c r="K55" s="41">
        <f>E55+G55+I55</f>
        <v/>
      </c>
      <c r="L55" s="30" t="inlineStr">
        <is>
          <t>Mendocino-Lake Community College District</t>
        </is>
      </c>
      <c r="M55" s="30" t="inlineStr">
        <is>
          <t>Mendocino</t>
        </is>
      </c>
      <c r="N55" s="34" t="n">
        <v>18778</v>
      </c>
      <c r="O55" s="35">
        <f>N55/N$8</f>
        <v/>
      </c>
      <c r="P55" s="51" t="n"/>
    </row>
    <row r="56" ht="15" customHeight="1">
      <c r="A56" s="29" t="n">
        <v>62</v>
      </c>
      <c r="B56" s="30" t="inlineStr">
        <is>
          <t>Merced</t>
        </is>
      </c>
      <c r="C56" s="31" t="n">
        <v>16625</v>
      </c>
      <c r="D56" s="50">
        <f>C56/C$8</f>
        <v/>
      </c>
      <c r="E56" s="31">
        <f>$D56*E$7*$H$3</f>
        <v/>
      </c>
      <c r="F56" s="31">
        <f>C56*F$7</f>
        <v/>
      </c>
      <c r="G56" s="31">
        <f>$D56*G$7*$H$3</f>
        <v/>
      </c>
      <c r="H56" s="31">
        <f>C56*H$7</f>
        <v/>
      </c>
      <c r="I56" s="31">
        <f>$D56*I$7*$H$3</f>
        <v/>
      </c>
      <c r="J56" s="31">
        <f>C56*J$7</f>
        <v/>
      </c>
      <c r="K56" s="41">
        <f>E56+G56+I56</f>
        <v/>
      </c>
      <c r="L56" s="30" t="inlineStr">
        <is>
          <t>Merced Community College District</t>
        </is>
      </c>
      <c r="M56" s="30" t="inlineStr">
        <is>
          <t>Merced</t>
        </is>
      </c>
      <c r="N56" s="34" t="n">
        <v>35277</v>
      </c>
      <c r="O56" s="35">
        <f>N56/N$8</f>
        <v/>
      </c>
      <c r="P56" s="51" t="n"/>
    </row>
    <row r="57" ht="15" customHeight="1">
      <c r="A57" s="29" t="n">
        <v>43</v>
      </c>
      <c r="B57" s="30" t="inlineStr">
        <is>
          <t>Hartnell</t>
        </is>
      </c>
      <c r="C57" s="31" t="n">
        <v>11903</v>
      </c>
      <c r="D57" s="50">
        <f>C57/C$8</f>
        <v/>
      </c>
      <c r="E57" s="31">
        <f>$D57*E$7*$H$3</f>
        <v/>
      </c>
      <c r="F57" s="31">
        <f>C57*F$7</f>
        <v/>
      </c>
      <c r="G57" s="31">
        <f>$D57*G$7*$H$3</f>
        <v/>
      </c>
      <c r="H57" s="31">
        <f>C57*H$7</f>
        <v/>
      </c>
      <c r="I57" s="31">
        <f>$D57*I$7*$H$3</f>
        <v/>
      </c>
      <c r="J57" s="31">
        <f>C57*J$7</f>
        <v/>
      </c>
      <c r="K57" s="41">
        <f>E57+G57+I57</f>
        <v/>
      </c>
      <c r="L57" s="30" t="inlineStr">
        <is>
          <t>Hartnell Community College District</t>
        </is>
      </c>
      <c r="M57" s="30" t="inlineStr">
        <is>
          <t>Monterey</t>
        </is>
      </c>
      <c r="N57" s="34" t="n">
        <v>44526</v>
      </c>
      <c r="O57" s="35">
        <f>N57/N$8</f>
        <v/>
      </c>
      <c r="P57" s="51" t="n"/>
    </row>
    <row r="58" ht="15" customHeight="1">
      <c r="A58" s="29" t="n">
        <v>67</v>
      </c>
      <c r="B58" s="30" t="inlineStr">
        <is>
          <t>Monterey</t>
        </is>
      </c>
      <c r="C58" s="31" t="n">
        <v>10592</v>
      </c>
      <c r="D58" s="50">
        <f>C58/C$8</f>
        <v/>
      </c>
      <c r="E58" s="31">
        <f>$D58*E$7*$H$3</f>
        <v/>
      </c>
      <c r="F58" s="31">
        <f>C58*F$7</f>
        <v/>
      </c>
      <c r="G58" s="31">
        <f>$D58*G$7*$H$3</f>
        <v/>
      </c>
      <c r="H58" s="31">
        <f>C58*H$7</f>
        <v/>
      </c>
      <c r="I58" s="31">
        <f>$D58*I$7*$H$3</f>
        <v/>
      </c>
      <c r="J58" s="31">
        <f>C58*J$7</f>
        <v/>
      </c>
      <c r="K58" s="41">
        <f>E58+G58+I58</f>
        <v/>
      </c>
      <c r="L58" s="30" t="inlineStr">
        <is>
          <t>Monterey Peninsula Community College District</t>
        </is>
      </c>
      <c r="M58" s="30" t="inlineStr">
        <is>
          <t>Monterey</t>
        </is>
      </c>
      <c r="N58" s="34" t="n">
        <v>44526</v>
      </c>
      <c r="O58" s="35">
        <f>N58/N$8</f>
        <v/>
      </c>
      <c r="P58" s="51" t="n"/>
    </row>
    <row r="59" ht="15" customHeight="1">
      <c r="A59" s="29" t="n">
        <v>72</v>
      </c>
      <c r="B59" s="30" t="inlineStr">
        <is>
          <t>Napa</t>
        </is>
      </c>
      <c r="C59" s="31" t="n">
        <v>6418</v>
      </c>
      <c r="D59" s="50">
        <f>C59/C$8</f>
        <v/>
      </c>
      <c r="E59" s="31">
        <f>$D59*E$7*$H$3</f>
        <v/>
      </c>
      <c r="F59" s="31">
        <f>C59*F$7</f>
        <v/>
      </c>
      <c r="G59" s="31">
        <f>$D59*G$7*$H$3</f>
        <v/>
      </c>
      <c r="H59" s="31">
        <f>C59*H$7</f>
        <v/>
      </c>
      <c r="I59" s="31">
        <f>$D59*I$7*$H$3</f>
        <v/>
      </c>
      <c r="J59" s="31">
        <f>C59*J$7</f>
        <v/>
      </c>
      <c r="K59" s="41">
        <f>E59+G59+I59</f>
        <v/>
      </c>
      <c r="L59" s="30" t="inlineStr">
        <is>
          <t>Napa Valley Community College District</t>
        </is>
      </c>
      <c r="M59" s="30" t="inlineStr">
        <is>
          <t>Napa</t>
        </is>
      </c>
      <c r="N59" s="34" t="n">
        <v>16949</v>
      </c>
      <c r="O59" s="35">
        <f>N59/N$8</f>
        <v/>
      </c>
      <c r="P59" s="51" t="n"/>
    </row>
    <row r="60" ht="15" customHeight="1">
      <c r="A60" s="29" t="n">
        <v>18</v>
      </c>
      <c r="B60" s="30" t="inlineStr">
        <is>
          <t>Coastline</t>
        </is>
      </c>
      <c r="C60" s="31" t="n">
        <v>16212</v>
      </c>
      <c r="D60" s="50">
        <f>C60/C$8</f>
        <v/>
      </c>
      <c r="E60" s="31">
        <f>$D60*E$7*$H$3</f>
        <v/>
      </c>
      <c r="F60" s="31">
        <f>C60*F$7</f>
        <v/>
      </c>
      <c r="G60" s="31">
        <f>$D60*G$7*$H$3</f>
        <v/>
      </c>
      <c r="H60" s="31">
        <f>C60*H$7</f>
        <v/>
      </c>
      <c r="I60" s="31">
        <f>$D60*I$7*$H$3</f>
        <v/>
      </c>
      <c r="J60" s="31">
        <f>C60*J$7</f>
        <v/>
      </c>
      <c r="K60" s="41">
        <f>E60+G60+I60</f>
        <v/>
      </c>
      <c r="L60" s="30" t="inlineStr">
        <is>
          <t>Coast Community College District</t>
        </is>
      </c>
      <c r="M60" s="30" t="inlineStr">
        <is>
          <t>Orange</t>
        </is>
      </c>
      <c r="N60" s="34" t="n">
        <v>399262</v>
      </c>
      <c r="O60" s="35">
        <f>N60/N$8</f>
        <v/>
      </c>
      <c r="P60" s="51" t="n"/>
    </row>
    <row r="61" ht="15" customHeight="1">
      <c r="A61" s="29" t="n">
        <v>27</v>
      </c>
      <c r="B61" s="30" t="inlineStr">
        <is>
          <t>Cypress</t>
        </is>
      </c>
      <c r="C61" s="31" t="n">
        <v>18788</v>
      </c>
      <c r="D61" s="50">
        <f>C61/C$8</f>
        <v/>
      </c>
      <c r="E61" s="31">
        <f>$D61*E$7*$H$3</f>
        <v/>
      </c>
      <c r="F61" s="31">
        <f>C61*F$7</f>
        <v/>
      </c>
      <c r="G61" s="31">
        <f>$D61*G$7*$H$3</f>
        <v/>
      </c>
      <c r="H61" s="31">
        <f>C61*H$7</f>
        <v/>
      </c>
      <c r="I61" s="31">
        <f>$D61*I$7*$H$3</f>
        <v/>
      </c>
      <c r="J61" s="31">
        <f>C61*J$7</f>
        <v/>
      </c>
      <c r="K61" s="41">
        <f>E61+G61+I61</f>
        <v/>
      </c>
      <c r="L61" s="30" t="inlineStr">
        <is>
          <t>North Orange County Community College District</t>
        </is>
      </c>
      <c r="M61" s="30" t="inlineStr">
        <is>
          <t>Orange</t>
        </is>
      </c>
      <c r="N61" s="34" t="n">
        <v>399262</v>
      </c>
      <c r="O61" s="35">
        <f>N61/N$8</f>
        <v/>
      </c>
      <c r="P61" s="51" t="n"/>
    </row>
    <row r="62" ht="15" customHeight="1">
      <c r="A62" s="29" t="n">
        <v>38</v>
      </c>
      <c r="B62" s="30" t="inlineStr">
        <is>
          <t>Fullerton</t>
        </is>
      </c>
      <c r="C62" s="31" t="n">
        <v>26433</v>
      </c>
      <c r="D62" s="50">
        <f>C62/C$8</f>
        <v/>
      </c>
      <c r="E62" s="31">
        <f>$D62*E$7*$H$3</f>
        <v/>
      </c>
      <c r="F62" s="31">
        <f>C62*F$7</f>
        <v/>
      </c>
      <c r="G62" s="31">
        <f>$D62*G$7*$H$3</f>
        <v/>
      </c>
      <c r="H62" s="31">
        <f>C62*H$7</f>
        <v/>
      </c>
      <c r="I62" s="31">
        <f>$D62*I$7*$H$3</f>
        <v/>
      </c>
      <c r="J62" s="31">
        <f>C62*J$7</f>
        <v/>
      </c>
      <c r="K62" s="41">
        <f>E62+G62+I62</f>
        <v/>
      </c>
      <c r="L62" s="30" t="inlineStr">
        <is>
          <t>North Orange County Community College District</t>
        </is>
      </c>
      <c r="M62" s="30" t="inlineStr">
        <is>
          <t>Orange</t>
        </is>
      </c>
      <c r="N62" s="34" t="n">
        <v>399262</v>
      </c>
      <c r="O62" s="35">
        <f>N62/N$8</f>
        <v/>
      </c>
      <c r="P62" s="51" t="n"/>
    </row>
    <row r="63" ht="15" customHeight="1">
      <c r="A63" s="29" t="n">
        <v>41</v>
      </c>
      <c r="B63" s="30" t="inlineStr">
        <is>
          <t>Golden West</t>
        </is>
      </c>
      <c r="C63" s="31" t="n">
        <v>18058</v>
      </c>
      <c r="D63" s="50">
        <f>C63/C$8</f>
        <v/>
      </c>
      <c r="E63" s="31">
        <f>$D63*E$7*$H$3</f>
        <v/>
      </c>
      <c r="F63" s="31">
        <f>C63*F$7</f>
        <v/>
      </c>
      <c r="G63" s="31">
        <f>$D63*G$7*$H$3</f>
        <v/>
      </c>
      <c r="H63" s="31">
        <f>C63*H$7</f>
        <v/>
      </c>
      <c r="I63" s="31">
        <f>$D63*I$7*$H$3</f>
        <v/>
      </c>
      <c r="J63" s="31">
        <f>C63*J$7</f>
        <v/>
      </c>
      <c r="K63" s="41">
        <f>E63+G63+I63</f>
        <v/>
      </c>
      <c r="L63" s="30" t="inlineStr">
        <is>
          <t>Coast Community College District</t>
        </is>
      </c>
      <c r="M63" s="30" t="inlineStr">
        <is>
          <t>Orange</t>
        </is>
      </c>
      <c r="N63" s="34" t="n">
        <v>399262</v>
      </c>
      <c r="O63" s="35">
        <f>N63/N$8</f>
        <v/>
      </c>
      <c r="P63" s="51" t="n"/>
    </row>
    <row r="64" ht="15" customHeight="1">
      <c r="A64" s="29" t="n">
        <v>45</v>
      </c>
      <c r="B64" s="30" t="inlineStr">
        <is>
          <t>Irvine</t>
        </is>
      </c>
      <c r="C64" s="31" t="n">
        <v>20375</v>
      </c>
      <c r="D64" s="50">
        <f>C64/C$8</f>
        <v/>
      </c>
      <c r="E64" s="31">
        <f>$D64*E$7*$H$3</f>
        <v/>
      </c>
      <c r="F64" s="31">
        <f>C64*F$7</f>
        <v/>
      </c>
      <c r="G64" s="31">
        <f>$D64*G$7*$H$3</f>
        <v/>
      </c>
      <c r="H64" s="31">
        <f>C64*H$7</f>
        <v/>
      </c>
      <c r="I64" s="31">
        <f>$D64*I$7*$H$3</f>
        <v/>
      </c>
      <c r="J64" s="31">
        <f>C64*J$7</f>
        <v/>
      </c>
      <c r="K64" s="41">
        <f>E64+G64+I64</f>
        <v/>
      </c>
      <c r="L64" s="30" t="inlineStr">
        <is>
          <t>South Orange County Community College District</t>
        </is>
      </c>
      <c r="M64" s="30" t="inlineStr">
        <is>
          <t>Orange</t>
        </is>
      </c>
      <c r="N64" s="34" t="n">
        <v>399262</v>
      </c>
      <c r="O64" s="35">
        <f>N64/N$8</f>
        <v/>
      </c>
      <c r="P64" s="51" t="n"/>
    </row>
    <row r="65" ht="15" customHeight="1">
      <c r="A65" s="29" t="n">
        <v>74</v>
      </c>
      <c r="B65" s="30" t="inlineStr">
        <is>
          <t>North Orange Adult</t>
        </is>
      </c>
      <c r="C65" s="31" t="n">
        <v>16046</v>
      </c>
      <c r="D65" s="50">
        <f>C65/C$8</f>
        <v/>
      </c>
      <c r="E65" s="31">
        <f>$D65*E$7*$H$3</f>
        <v/>
      </c>
      <c r="F65" s="31">
        <f>C65*F$7</f>
        <v/>
      </c>
      <c r="G65" s="31">
        <f>$D65*G$7*$H$3</f>
        <v/>
      </c>
      <c r="H65" s="31">
        <f>C65*H$7</f>
        <v/>
      </c>
      <c r="I65" s="31">
        <f>$D65*I$7*$H$3</f>
        <v/>
      </c>
      <c r="J65" s="31">
        <f>C65*J$7</f>
        <v/>
      </c>
      <c r="K65" s="41">
        <f>E65+G65+I65</f>
        <v/>
      </c>
      <c r="L65" s="30" t="inlineStr">
        <is>
          <t>North Orange County Community College District</t>
        </is>
      </c>
      <c r="M65" s="30" t="inlineStr">
        <is>
          <t>Orange</t>
        </is>
      </c>
      <c r="N65" s="34" t="n">
        <v>399262</v>
      </c>
      <c r="O65" s="35">
        <f>N65/N$8</f>
        <v/>
      </c>
      <c r="P65" s="51" t="n"/>
    </row>
    <row r="66" ht="15" customHeight="1">
      <c r="A66" s="29" t="n">
        <v>76</v>
      </c>
      <c r="B66" s="30" t="inlineStr">
        <is>
          <t>Orange Coast</t>
        </is>
      </c>
      <c r="C66" s="31" t="n">
        <v>22995</v>
      </c>
      <c r="D66" s="50">
        <f>C66/C$8</f>
        <v/>
      </c>
      <c r="E66" s="31">
        <f>$D66*E$7*$H$3</f>
        <v/>
      </c>
      <c r="F66" s="31">
        <f>C66*F$7</f>
        <v/>
      </c>
      <c r="G66" s="31">
        <f>$D66*G$7*$H$3</f>
        <v/>
      </c>
      <c r="H66" s="31">
        <f>C66*H$7</f>
        <v/>
      </c>
      <c r="I66" s="31">
        <f>$D66*I$7*$H$3</f>
        <v/>
      </c>
      <c r="J66" s="31">
        <f>C66*J$7</f>
        <v/>
      </c>
      <c r="K66" s="41">
        <f>E66+G66+I66</f>
        <v/>
      </c>
      <c r="L66" s="30" t="inlineStr">
        <is>
          <t>Coast Community College District</t>
        </is>
      </c>
      <c r="M66" s="30" t="inlineStr">
        <is>
          <t>Orange</t>
        </is>
      </c>
      <c r="N66" s="34" t="n">
        <v>399262</v>
      </c>
      <c r="O66" s="35">
        <f>N66/N$8</f>
        <v/>
      </c>
      <c r="P66" s="51" t="n"/>
    </row>
    <row r="67" ht="15" customHeight="1">
      <c r="A67" s="29" t="n">
        <v>87</v>
      </c>
      <c r="B67" s="30" t="inlineStr">
        <is>
          <t>Saddleback</t>
        </is>
      </c>
      <c r="C67" s="31" t="n">
        <v>36459</v>
      </c>
      <c r="D67" s="50">
        <f>C67/C$8</f>
        <v/>
      </c>
      <c r="E67" s="31">
        <f>$D67*E$7*$H$3</f>
        <v/>
      </c>
      <c r="F67" s="31">
        <f>C67*F$7</f>
        <v/>
      </c>
      <c r="G67" s="31">
        <f>$D67*G$7*$H$3</f>
        <v/>
      </c>
      <c r="H67" s="31">
        <f>C67*H$7</f>
        <v/>
      </c>
      <c r="I67" s="31">
        <f>$D67*I$7*$H$3</f>
        <v/>
      </c>
      <c r="J67" s="31">
        <f>C67*J$7</f>
        <v/>
      </c>
      <c r="K67" s="41">
        <f>E67+G67+I67</f>
        <v/>
      </c>
      <c r="L67" s="30" t="inlineStr">
        <is>
          <t>South Orange County Community College District</t>
        </is>
      </c>
      <c r="M67" s="30" t="inlineStr">
        <is>
          <t>Orange</t>
        </is>
      </c>
      <c r="N67" s="34" t="n">
        <v>399262</v>
      </c>
      <c r="O67" s="35">
        <f>N67/N$8</f>
        <v/>
      </c>
      <c r="P67" s="51" t="n"/>
    </row>
    <row r="68" ht="15" customHeight="1">
      <c r="A68" s="29" t="n">
        <v>97</v>
      </c>
      <c r="B68" s="30" t="inlineStr">
        <is>
          <t>Santa Ana</t>
        </is>
      </c>
      <c r="C68" s="31" t="n">
        <v>57847</v>
      </c>
      <c r="D68" s="50">
        <f>C68/C$8</f>
        <v/>
      </c>
      <c r="E68" s="31">
        <f>$D68*E$7*$H$3</f>
        <v/>
      </c>
      <c r="F68" s="31">
        <f>C68*F$7</f>
        <v/>
      </c>
      <c r="G68" s="31">
        <f>$D68*G$7*$H$3</f>
        <v/>
      </c>
      <c r="H68" s="31">
        <f>C68*H$7</f>
        <v/>
      </c>
      <c r="I68" s="31">
        <f>$D68*I$7*$H$3</f>
        <v/>
      </c>
      <c r="J68" s="31">
        <f>C68*J$7</f>
        <v/>
      </c>
      <c r="K68" s="41">
        <f>E68+G68+I68</f>
        <v/>
      </c>
      <c r="L68" s="30" t="inlineStr">
        <is>
          <t>Rancho Santiago Community College District</t>
        </is>
      </c>
      <c r="M68" s="30" t="inlineStr">
        <is>
          <t>Orange</t>
        </is>
      </c>
      <c r="N68" s="34" t="n">
        <v>399262</v>
      </c>
      <c r="O68" s="35">
        <f>N68/N$8</f>
        <v/>
      </c>
      <c r="P68" s="51" t="n"/>
    </row>
    <row r="69" ht="15" customHeight="1">
      <c r="A69" s="29" t="n">
        <v>101</v>
      </c>
      <c r="B69" s="30" t="inlineStr">
        <is>
          <t>Santiago Canyon</t>
        </is>
      </c>
      <c r="C69" s="31" t="n">
        <v>29707</v>
      </c>
      <c r="D69" s="50">
        <f>C69/C$8</f>
        <v/>
      </c>
      <c r="E69" s="31">
        <f>$D69*E$7*$H$3</f>
        <v/>
      </c>
      <c r="F69" s="31">
        <f>C69*F$7</f>
        <v/>
      </c>
      <c r="G69" s="31">
        <f>$D69*G$7*$H$3</f>
        <v/>
      </c>
      <c r="H69" s="31">
        <f>C69*H$7</f>
        <v/>
      </c>
      <c r="I69" s="31">
        <f>$D69*I$7*$H$3</f>
        <v/>
      </c>
      <c r="J69" s="31">
        <f>C69*J$7</f>
        <v/>
      </c>
      <c r="K69" s="41">
        <f>E69+G69+I69</f>
        <v/>
      </c>
      <c r="L69" s="30" t="inlineStr">
        <is>
          <t>Rancho Santiago Community College District</t>
        </is>
      </c>
      <c r="M69" s="30" t="inlineStr">
        <is>
          <t>Orange</t>
        </is>
      </c>
      <c r="N69" s="34" t="n">
        <v>399262</v>
      </c>
      <c r="O69" s="35">
        <f>N69/N$8</f>
        <v/>
      </c>
      <c r="P69" s="51" t="n"/>
    </row>
    <row r="70" ht="15" customHeight="1">
      <c r="A70" s="29" t="n">
        <v>104</v>
      </c>
      <c r="B70" s="30" t="inlineStr">
        <is>
          <t>Sierra</t>
        </is>
      </c>
      <c r="C70" s="31" t="n">
        <v>24187</v>
      </c>
      <c r="D70" s="50">
        <f>C70/C$8</f>
        <v/>
      </c>
      <c r="E70" s="31">
        <f>$D70*E$7*$H$3</f>
        <v/>
      </c>
      <c r="F70" s="31">
        <f>C70*F$7</f>
        <v/>
      </c>
      <c r="G70" s="31">
        <f>$D70*G$7*$H$3</f>
        <v/>
      </c>
      <c r="H70" s="31">
        <f>C70*H$7</f>
        <v/>
      </c>
      <c r="I70" s="31">
        <f>$D70*I$7*$H$3</f>
        <v/>
      </c>
      <c r="J70" s="31">
        <f>C70*J$7</f>
        <v/>
      </c>
      <c r="K70" s="41">
        <f>E70+G70+I70</f>
        <v/>
      </c>
      <c r="L70" s="30" t="inlineStr">
        <is>
          <t>Sierra Joint Community College District</t>
        </is>
      </c>
      <c r="M70" s="30" t="inlineStr">
        <is>
          <t>Placer</t>
        </is>
      </c>
      <c r="N70" s="34" t="n">
        <v>71637</v>
      </c>
      <c r="O70" s="35">
        <f>N70/N$8</f>
        <v/>
      </c>
      <c r="P70" s="51" t="n"/>
    </row>
    <row r="71" ht="15" customHeight="1">
      <c r="A71" s="29" t="n">
        <v>34</v>
      </c>
      <c r="B71" s="30" t="inlineStr">
        <is>
          <t>Feather River</t>
        </is>
      </c>
      <c r="C71" s="31" t="n">
        <v>2739</v>
      </c>
      <c r="D71" s="50">
        <f>C71/C$8</f>
        <v/>
      </c>
      <c r="E71" s="31">
        <f>$D71*E$7*$H$3</f>
        <v/>
      </c>
      <c r="F71" s="31">
        <f>C71*F$7</f>
        <v/>
      </c>
      <c r="G71" s="31">
        <f>$D71*G$7*$H$3</f>
        <v/>
      </c>
      <c r="H71" s="31">
        <f>C71*H$7</f>
        <v/>
      </c>
      <c r="I71" s="31">
        <f>$D71*I$7*$H$3</f>
        <v/>
      </c>
      <c r="J71" s="31">
        <f>C71*J$7</f>
        <v/>
      </c>
      <c r="K71" s="41">
        <f>E71+G71+I71</f>
        <v/>
      </c>
      <c r="L71" s="30" t="inlineStr">
        <is>
          <t>Feather River Community College District</t>
        </is>
      </c>
      <c r="M71" s="30" t="inlineStr">
        <is>
          <t>Plumas</t>
        </is>
      </c>
      <c r="N71" s="37" t="inlineStr">
        <is>
          <t>N/A*</t>
        </is>
      </c>
      <c r="O71" s="35">
        <f>N71/N$8</f>
        <v/>
      </c>
      <c r="P71" s="51" t="n"/>
    </row>
    <row r="72" ht="15" customHeight="1">
      <c r="A72" s="29" t="n">
        <v>29</v>
      </c>
      <c r="B72" s="30" t="inlineStr">
        <is>
          <t>Desert</t>
        </is>
      </c>
      <c r="C72" s="31" t="n">
        <v>16556</v>
      </c>
      <c r="D72" s="50">
        <f>C72/C$8</f>
        <v/>
      </c>
      <c r="E72" s="31">
        <f>$D72*E$7*$H$3</f>
        <v/>
      </c>
      <c r="F72" s="31">
        <f>C72*F$7</f>
        <v/>
      </c>
      <c r="G72" s="31">
        <f>$D72*G$7*$H$3</f>
        <v/>
      </c>
      <c r="H72" s="31">
        <f>C72*H$7</f>
        <v/>
      </c>
      <c r="I72" s="31">
        <f>$D72*I$7*$H$3</f>
        <v/>
      </c>
      <c r="J72" s="31">
        <f>C72*J$7</f>
        <v/>
      </c>
      <c r="K72" s="41">
        <f>E72+G72+I72</f>
        <v/>
      </c>
      <c r="L72" s="30" t="inlineStr">
        <is>
          <t>Desert Community College District</t>
        </is>
      </c>
      <c r="M72" s="30" t="inlineStr">
        <is>
          <t>Riverside</t>
        </is>
      </c>
      <c r="N72" s="34" t="n">
        <v>378406</v>
      </c>
      <c r="O72" s="35">
        <f>N72/N$8</f>
        <v/>
      </c>
      <c r="P72" s="51" t="n"/>
    </row>
    <row r="73" ht="15" customHeight="1">
      <c r="A73" s="29" t="n">
        <v>69</v>
      </c>
      <c r="B73" s="30" t="inlineStr">
        <is>
          <t>Moreno Valley</t>
        </is>
      </c>
      <c r="C73" s="31" t="n">
        <v>15460</v>
      </c>
      <c r="D73" s="50">
        <f>C73/C$8</f>
        <v/>
      </c>
      <c r="E73" s="31">
        <f>$D73*E$7*$H$3</f>
        <v/>
      </c>
      <c r="F73" s="31">
        <f>C73*F$7</f>
        <v/>
      </c>
      <c r="G73" s="31">
        <f>$D73*G$7*$H$3</f>
        <v/>
      </c>
      <c r="H73" s="31">
        <f>C73*H$7</f>
        <v/>
      </c>
      <c r="I73" s="31">
        <f>$D73*I$7*$H$3</f>
        <v/>
      </c>
      <c r="J73" s="31">
        <f>C73*J$7</f>
        <v/>
      </c>
      <c r="K73" s="41">
        <f>E73+G73+I73</f>
        <v/>
      </c>
      <c r="L73" s="30" t="inlineStr">
        <is>
          <t>Riverside Community College District</t>
        </is>
      </c>
      <c r="M73" s="30" t="inlineStr">
        <is>
          <t>Riverside</t>
        </is>
      </c>
      <c r="N73" s="34" t="n">
        <v>378406</v>
      </c>
      <c r="O73" s="35">
        <f>N73/N$8</f>
        <v/>
      </c>
      <c r="P73" s="51" t="n"/>
    </row>
    <row r="74" ht="15" customHeight="1">
      <c r="A74" s="29" t="n">
        <v>71</v>
      </c>
      <c r="B74" s="30" t="inlineStr">
        <is>
          <t>Mt. San Jacinto</t>
        </is>
      </c>
      <c r="C74" s="31" t="n">
        <v>24319</v>
      </c>
      <c r="D74" s="50">
        <f>C74/C$8</f>
        <v/>
      </c>
      <c r="E74" s="31">
        <f>$D74*E$7*$H$3</f>
        <v/>
      </c>
      <c r="F74" s="31">
        <f>C74*F$7</f>
        <v/>
      </c>
      <c r="G74" s="31">
        <f>$D74*G$7*$H$3</f>
        <v/>
      </c>
      <c r="H74" s="31">
        <f>C74*H$7</f>
        <v/>
      </c>
      <c r="I74" s="31">
        <f>$D74*I$7*$H$3</f>
        <v/>
      </c>
      <c r="J74" s="31">
        <f>C74*J$7</f>
        <v/>
      </c>
      <c r="K74" s="41">
        <f>E74+G74+I74</f>
        <v/>
      </c>
      <c r="L74" s="30" t="inlineStr">
        <is>
          <t>Mt. San Jacinto Community College District</t>
        </is>
      </c>
      <c r="M74" s="30" t="inlineStr">
        <is>
          <t>Riverside</t>
        </is>
      </c>
      <c r="N74" s="34" t="n">
        <v>378406</v>
      </c>
      <c r="O74" s="35">
        <f>N74/N$8</f>
        <v/>
      </c>
      <c r="P74" s="51" t="n"/>
    </row>
    <row r="75" ht="15" customHeight="1">
      <c r="A75" s="29" t="n">
        <v>73</v>
      </c>
      <c r="B75" s="30" t="inlineStr">
        <is>
          <t>Norco College</t>
        </is>
      </c>
      <c r="C75" s="31" t="n">
        <v>15897</v>
      </c>
      <c r="D75" s="50">
        <f>C75/C$8</f>
        <v/>
      </c>
      <c r="E75" s="31">
        <f>$D75*E$7*$H$3</f>
        <v/>
      </c>
      <c r="F75" s="31">
        <f>C75*F$7</f>
        <v/>
      </c>
      <c r="G75" s="31">
        <f>$D75*G$7*$H$3</f>
        <v/>
      </c>
      <c r="H75" s="31">
        <f>C75*H$7</f>
        <v/>
      </c>
      <c r="I75" s="31">
        <f>$D75*I$7*$H$3</f>
        <v/>
      </c>
      <c r="J75" s="31">
        <f>C75*J$7</f>
        <v/>
      </c>
      <c r="K75" s="41">
        <f>E75+G75+I75</f>
        <v/>
      </c>
      <c r="L75" s="30" t="inlineStr">
        <is>
          <t>Riverside Community College District</t>
        </is>
      </c>
      <c r="M75" s="30" t="inlineStr">
        <is>
          <t>Riverside</t>
        </is>
      </c>
      <c r="N75" s="34" t="n">
        <v>378406</v>
      </c>
      <c r="O75" s="35">
        <f>N75/N$8</f>
        <v/>
      </c>
      <c r="P75" s="51" t="n"/>
    </row>
    <row r="76" ht="15" customHeight="1">
      <c r="A76" s="29" t="n">
        <v>78</v>
      </c>
      <c r="B76" s="30" t="inlineStr">
        <is>
          <t>Palo Verde</t>
        </is>
      </c>
      <c r="C76" s="31" t="n">
        <v>6472</v>
      </c>
      <c r="D76" s="50">
        <f>C76/C$8</f>
        <v/>
      </c>
      <c r="E76" s="31">
        <f>$D76*E$7*$H$3</f>
        <v/>
      </c>
      <c r="F76" s="31">
        <f>C76*F$7</f>
        <v/>
      </c>
      <c r="G76" s="31">
        <f>$D76*G$7*$H$3</f>
        <v/>
      </c>
      <c r="H76" s="31">
        <f>C76*H$7</f>
        <v/>
      </c>
      <c r="I76" s="31">
        <f>$D76*I$7*$H$3</f>
        <v/>
      </c>
      <c r="J76" s="31">
        <f>C76*J$7</f>
        <v/>
      </c>
      <c r="K76" s="41">
        <f>E76+G76+I76</f>
        <v/>
      </c>
      <c r="L76" s="30" t="inlineStr">
        <is>
          <t>Palo Verde Community College District</t>
        </is>
      </c>
      <c r="M76" s="30" t="inlineStr">
        <is>
          <t>Riverside</t>
        </is>
      </c>
      <c r="N76" s="34" t="n">
        <v>378406</v>
      </c>
      <c r="O76" s="35">
        <f>N76/N$8</f>
        <v/>
      </c>
      <c r="P76" s="51" t="n"/>
    </row>
    <row r="77" ht="15" customHeight="1">
      <c r="A77" s="29" t="n">
        <v>85</v>
      </c>
      <c r="B77" s="30" t="inlineStr">
        <is>
          <t>Riverside</t>
        </is>
      </c>
      <c r="C77" s="31" t="n">
        <v>29205</v>
      </c>
      <c r="D77" s="50">
        <f>C77/C$8</f>
        <v/>
      </c>
      <c r="E77" s="31">
        <f>$D77*E$7*$H$3</f>
        <v/>
      </c>
      <c r="F77" s="31">
        <f>C77*F$7</f>
        <v/>
      </c>
      <c r="G77" s="31">
        <f>$D77*G$7*$H$3</f>
        <v/>
      </c>
      <c r="H77" s="31">
        <f>C77*H$7</f>
        <v/>
      </c>
      <c r="I77" s="31">
        <f>$D77*I$7*$H$3</f>
        <v/>
      </c>
      <c r="J77" s="31">
        <f>C77*J$7</f>
        <v/>
      </c>
      <c r="K77" s="41">
        <f>E77+G77+I77</f>
        <v/>
      </c>
      <c r="L77" s="30" t="inlineStr">
        <is>
          <t>Riverside Community College District</t>
        </is>
      </c>
      <c r="M77" s="30" t="inlineStr">
        <is>
          <t>Riverside</t>
        </is>
      </c>
      <c r="N77" s="34" t="n">
        <v>378406</v>
      </c>
      <c r="O77" s="35">
        <f>N77/N$8</f>
        <v/>
      </c>
      <c r="P77" s="51" t="n"/>
    </row>
    <row r="78" ht="15" customHeight="1">
      <c r="A78" s="29" t="n">
        <v>3</v>
      </c>
      <c r="B78" s="30" t="inlineStr">
        <is>
          <t>American River</t>
        </is>
      </c>
      <c r="C78" s="31" t="n">
        <v>42226</v>
      </c>
      <c r="D78" s="50">
        <f>C78/C$8</f>
        <v/>
      </c>
      <c r="E78" s="31">
        <f>$D78*E$7*$H$3</f>
        <v/>
      </c>
      <c r="F78" s="31">
        <f>C78*F$7</f>
        <v/>
      </c>
      <c r="G78" s="31">
        <f>$D78*G$7*$H$3</f>
        <v/>
      </c>
      <c r="H78" s="31">
        <f>C78*H$7</f>
        <v/>
      </c>
      <c r="I78" s="31">
        <f>$D78*I$7*$H$3</f>
        <v/>
      </c>
      <c r="J78" s="31">
        <f>C78*J$7</f>
        <v/>
      </c>
      <c r="K78" s="41">
        <f>E78+G78+I78</f>
        <v/>
      </c>
      <c r="L78" s="30" t="inlineStr">
        <is>
          <t>Los Rios Community College District</t>
        </is>
      </c>
      <c r="M78" s="30" t="inlineStr">
        <is>
          <t>Sacramento</t>
        </is>
      </c>
      <c r="N78" s="34" t="n">
        <v>257597</v>
      </c>
      <c r="O78" s="35">
        <f>N78/N$8</f>
        <v/>
      </c>
      <c r="P78" s="51" t="n"/>
    </row>
    <row r="79" ht="15" customHeight="1">
      <c r="A79" s="29" t="n">
        <v>23</v>
      </c>
      <c r="B79" s="30" t="inlineStr">
        <is>
          <t>Cosumnes River</t>
        </is>
      </c>
      <c r="C79" s="31" t="n">
        <v>20682</v>
      </c>
      <c r="D79" s="50">
        <f>C79/C$8</f>
        <v/>
      </c>
      <c r="E79" s="31">
        <f>$D79*E$7*$H$3</f>
        <v/>
      </c>
      <c r="F79" s="31">
        <f>C79*F$7</f>
        <v/>
      </c>
      <c r="G79" s="31">
        <f>$D79*G$7*$H$3</f>
        <v/>
      </c>
      <c r="H79" s="31">
        <f>C79*H$7</f>
        <v/>
      </c>
      <c r="I79" s="31">
        <f>$D79*I$7*$H$3</f>
        <v/>
      </c>
      <c r="J79" s="31">
        <f>C79*J$7</f>
        <v/>
      </c>
      <c r="K79" s="41">
        <f>E79+G79+I79</f>
        <v/>
      </c>
      <c r="L79" s="30" t="inlineStr">
        <is>
          <t>Los Rios Community College District</t>
        </is>
      </c>
      <c r="M79" s="30" t="inlineStr">
        <is>
          <t>Sacramento</t>
        </is>
      </c>
      <c r="N79" s="34" t="n">
        <v>257597</v>
      </c>
      <c r="O79" s="35">
        <f>N79/N$8</f>
        <v/>
      </c>
      <c r="P79" s="51" t="n"/>
    </row>
    <row r="80" ht="15" customHeight="1">
      <c r="A80" s="29" t="n">
        <v>35</v>
      </c>
      <c r="B80" s="30" t="inlineStr">
        <is>
          <t>Folsom Lake</t>
        </is>
      </c>
      <c r="C80" s="31" t="n">
        <v>14208</v>
      </c>
      <c r="D80" s="50">
        <f>C80/C$8</f>
        <v/>
      </c>
      <c r="E80" s="31">
        <f>$D80*E$7*$H$3</f>
        <v/>
      </c>
      <c r="F80" s="31">
        <f>C80*F$7</f>
        <v/>
      </c>
      <c r="G80" s="31">
        <f>$D80*G$7*$H$3</f>
        <v/>
      </c>
      <c r="H80" s="31">
        <f>C80*H$7</f>
        <v/>
      </c>
      <c r="I80" s="31">
        <f>$D80*I$7*$H$3</f>
        <v/>
      </c>
      <c r="J80" s="31">
        <f>C80*J$7</f>
        <v/>
      </c>
      <c r="K80" s="41">
        <f>E80+G80+I80</f>
        <v/>
      </c>
      <c r="L80" s="30" t="inlineStr">
        <is>
          <t>Los Rios Community College District</t>
        </is>
      </c>
      <c r="M80" s="30" t="inlineStr">
        <is>
          <t>Sacramento</t>
        </is>
      </c>
      <c r="N80" s="34" t="n">
        <v>257597</v>
      </c>
      <c r="O80" s="35">
        <f>N80/N$8</f>
        <v/>
      </c>
      <c r="P80" s="51" t="n"/>
    </row>
    <row r="81" ht="15" customHeight="1">
      <c r="A81" s="29" t="n">
        <v>86</v>
      </c>
      <c r="B81" s="30" t="inlineStr">
        <is>
          <t>Sacramento City</t>
        </is>
      </c>
      <c r="C81" s="31" t="n">
        <v>28012</v>
      </c>
      <c r="D81" s="50">
        <f>C81/C$8</f>
        <v/>
      </c>
      <c r="E81" s="31">
        <f>$D81*E$7*$H$3</f>
        <v/>
      </c>
      <c r="F81" s="31">
        <f>C81*F$7</f>
        <v/>
      </c>
      <c r="G81" s="31">
        <f>$D81*G$7*$H$3</f>
        <v/>
      </c>
      <c r="H81" s="31">
        <f>C81*H$7</f>
        <v/>
      </c>
      <c r="I81" s="31">
        <f>$D81*I$7*$H$3</f>
        <v/>
      </c>
      <c r="J81" s="31">
        <f>C81*J$7</f>
        <v/>
      </c>
      <c r="K81" s="41">
        <f>E81+G81+I81</f>
        <v/>
      </c>
      <c r="L81" s="30" t="inlineStr">
        <is>
          <t>Los Rios Community College District</t>
        </is>
      </c>
      <c r="M81" s="30" t="inlineStr">
        <is>
          <t>Sacramento</t>
        </is>
      </c>
      <c r="N81" s="34" t="n">
        <v>257597</v>
      </c>
      <c r="O81" s="35">
        <f>N81/N$8</f>
        <v/>
      </c>
      <c r="P81" s="51" t="n"/>
    </row>
    <row r="82" ht="15" customHeight="1">
      <c r="A82" s="29" t="n">
        <v>6</v>
      </c>
      <c r="B82" s="30" t="inlineStr">
        <is>
          <t>Barstow</t>
        </is>
      </c>
      <c r="C82" s="31" t="n">
        <v>5274</v>
      </c>
      <c r="D82" s="50">
        <f>C82/C$8</f>
        <v/>
      </c>
      <c r="E82" s="31">
        <f>$D82*E$7*$H$3</f>
        <v/>
      </c>
      <c r="F82" s="31">
        <f>C82*F$7</f>
        <v/>
      </c>
      <c r="G82" s="31">
        <f>$D82*G$7*$H$3</f>
        <v/>
      </c>
      <c r="H82" s="31">
        <f>C82*H$7</f>
        <v/>
      </c>
      <c r="I82" s="31">
        <f>$D82*I$7*$H$3</f>
        <v/>
      </c>
      <c r="J82" s="31">
        <f>C82*J$7</f>
        <v/>
      </c>
      <c r="K82" s="41">
        <f>E82+G82+I82</f>
        <v/>
      </c>
      <c r="L82" s="30" t="inlineStr">
        <is>
          <t>Barstow Community College District</t>
        </is>
      </c>
      <c r="M82" s="30" t="inlineStr">
        <is>
          <t>San Bernardino</t>
        </is>
      </c>
      <c r="N82" s="34" t="n">
        <v>311528</v>
      </c>
      <c r="O82" s="35">
        <f>N82/N$8</f>
        <v/>
      </c>
      <c r="P82" s="51" t="n"/>
    </row>
    <row r="83" ht="15" customHeight="1">
      <c r="A83" s="29" t="n">
        <v>15</v>
      </c>
      <c r="B83" s="30" t="inlineStr">
        <is>
          <t>Chaffey</t>
        </is>
      </c>
      <c r="C83" s="31" t="n">
        <v>30505</v>
      </c>
      <c r="D83" s="50">
        <f>C83/C$8</f>
        <v/>
      </c>
      <c r="E83" s="31">
        <f>$D83*E$7*$H$3</f>
        <v/>
      </c>
      <c r="F83" s="31">
        <f>C83*F$7</f>
        <v/>
      </c>
      <c r="G83" s="31">
        <f>$D83*G$7*$H$3</f>
        <v/>
      </c>
      <c r="H83" s="31">
        <f>C83*H$7</f>
        <v/>
      </c>
      <c r="I83" s="31">
        <f>$D83*I$7*$H$3</f>
        <v/>
      </c>
      <c r="J83" s="31">
        <f>C83*J$7</f>
        <v/>
      </c>
      <c r="K83" s="41">
        <f>E83+G83+I83</f>
        <v/>
      </c>
      <c r="L83" s="30" t="inlineStr">
        <is>
          <t>Chaffey Community College District</t>
        </is>
      </c>
      <c r="M83" s="30" t="inlineStr">
        <is>
          <t>San Bernardino</t>
        </is>
      </c>
      <c r="N83" s="34" t="n">
        <v>311528</v>
      </c>
      <c r="O83" s="35">
        <f>N83/N$8</f>
        <v/>
      </c>
      <c r="P83" s="51" t="n"/>
    </row>
    <row r="84" ht="15" customHeight="1">
      <c r="A84" s="29" t="n">
        <v>22</v>
      </c>
      <c r="B84" s="30" t="inlineStr">
        <is>
          <t>Copper Mountain</t>
        </is>
      </c>
      <c r="C84" s="31" t="n">
        <v>2278</v>
      </c>
      <c r="D84" s="50">
        <f>C84/C$8</f>
        <v/>
      </c>
      <c r="E84" s="31">
        <f>$D84*E$7*$H$3</f>
        <v/>
      </c>
      <c r="F84" s="31">
        <f>C84*F$7</f>
        <v/>
      </c>
      <c r="G84" s="31">
        <f>$D84*G$7*$H$3</f>
        <v/>
      </c>
      <c r="H84" s="31">
        <f>C84*H$7</f>
        <v/>
      </c>
      <c r="I84" s="31">
        <f>$D84*I$7*$H$3</f>
        <v/>
      </c>
      <c r="J84" s="31">
        <f>C84*J$7</f>
        <v/>
      </c>
      <c r="K84" s="41">
        <f>E84+G84+I84</f>
        <v/>
      </c>
      <c r="L84" s="30" t="inlineStr">
        <is>
          <t>Copper Mountain Community College District</t>
        </is>
      </c>
      <c r="M84" s="30" t="inlineStr">
        <is>
          <t>San Bernardino</t>
        </is>
      </c>
      <c r="N84" s="34" t="n">
        <v>311528</v>
      </c>
      <c r="O84" s="35">
        <f>N84/N$8</f>
        <v/>
      </c>
      <c r="P84" s="51" t="n"/>
    </row>
    <row r="85" ht="15" customHeight="1">
      <c r="A85" s="29" t="n">
        <v>24</v>
      </c>
      <c r="B85" s="30" t="inlineStr">
        <is>
          <t>Crafton Hills</t>
        </is>
      </c>
      <c r="C85" s="31" t="n">
        <v>7609</v>
      </c>
      <c r="D85" s="50">
        <f>C85/C$8</f>
        <v/>
      </c>
      <c r="E85" s="31">
        <f>$D85*E$7*$H$3</f>
        <v/>
      </c>
      <c r="F85" s="31">
        <f>C85*F$7</f>
        <v/>
      </c>
      <c r="G85" s="31">
        <f>$D85*G$7*$H$3</f>
        <v/>
      </c>
      <c r="H85" s="31">
        <f>C85*H$7</f>
        <v/>
      </c>
      <c r="I85" s="31">
        <f>$D85*I$7*$H$3</f>
        <v/>
      </c>
      <c r="J85" s="31">
        <f>C85*J$7</f>
        <v/>
      </c>
      <c r="K85" s="41">
        <f>E85+G85+I85</f>
        <v/>
      </c>
      <c r="L85" s="30" t="inlineStr">
        <is>
          <t>San Bernardino Community College District</t>
        </is>
      </c>
      <c r="M85" s="30" t="inlineStr">
        <is>
          <t>San Bernardino</t>
        </is>
      </c>
      <c r="N85" s="34" t="n">
        <v>311528</v>
      </c>
      <c r="O85" s="35">
        <f>N85/N$8</f>
        <v/>
      </c>
      <c r="P85" s="51" t="n"/>
    </row>
    <row r="86" ht="15" customHeight="1">
      <c r="A86" s="29" t="n">
        <v>88</v>
      </c>
      <c r="B86" s="30" t="inlineStr">
        <is>
          <t>San Bernardino</t>
        </is>
      </c>
      <c r="C86" s="31" t="n">
        <v>16682</v>
      </c>
      <c r="D86" s="50">
        <f>C86/C$8</f>
        <v/>
      </c>
      <c r="E86" s="31">
        <f>$D86*E$7*$H$3</f>
        <v/>
      </c>
      <c r="F86" s="31">
        <f>C86*F$7</f>
        <v/>
      </c>
      <c r="G86" s="31">
        <f>$D86*G$7*$H$3</f>
        <v/>
      </c>
      <c r="H86" s="31">
        <f>C86*H$7</f>
        <v/>
      </c>
      <c r="I86" s="31">
        <f>$D86*I$7*$H$3</f>
        <v/>
      </c>
      <c r="J86" s="31">
        <f>C86*J$7</f>
        <v/>
      </c>
      <c r="K86" s="41">
        <f>E86+G86+I86</f>
        <v/>
      </c>
      <c r="L86" s="30" t="inlineStr">
        <is>
          <t>San Bernardino Community College District</t>
        </is>
      </c>
      <c r="M86" s="30" t="inlineStr">
        <is>
          <t>San Bernardino</t>
        </is>
      </c>
      <c r="N86" s="34" t="n">
        <v>311528</v>
      </c>
      <c r="O86" s="35">
        <f>N86/N$8</f>
        <v/>
      </c>
      <c r="P86" s="51" t="n"/>
    </row>
    <row r="87" ht="15" customHeight="1">
      <c r="A87" s="29" t="n">
        <v>111</v>
      </c>
      <c r="B87" s="30" t="inlineStr">
        <is>
          <t>Victor Valley</t>
        </is>
      </c>
      <c r="C87" s="31" t="n">
        <v>18646</v>
      </c>
      <c r="D87" s="50">
        <f>C87/C$8</f>
        <v/>
      </c>
      <c r="E87" s="31">
        <f>$D87*E$7*$H$3</f>
        <v/>
      </c>
      <c r="F87" s="31">
        <f>C87*F$7</f>
        <v/>
      </c>
      <c r="G87" s="31">
        <f>$D87*G$7*$H$3</f>
        <v/>
      </c>
      <c r="H87" s="31">
        <f>C87*H$7</f>
        <v/>
      </c>
      <c r="I87" s="31">
        <f>$D87*I$7*$H$3</f>
        <v/>
      </c>
      <c r="J87" s="31">
        <f>C87*J$7</f>
        <v/>
      </c>
      <c r="K87" s="41">
        <f>E87+G87+I87</f>
        <v/>
      </c>
      <c r="L87" s="30" t="inlineStr">
        <is>
          <t>Victor Valley Community College District</t>
        </is>
      </c>
      <c r="M87" s="30" t="inlineStr">
        <is>
          <t>San Bernardino</t>
        </is>
      </c>
      <c r="N87" s="34" t="n">
        <v>311528</v>
      </c>
      <c r="O87" s="35">
        <f>N87/N$8</f>
        <v/>
      </c>
      <c r="P87" s="51" t="n"/>
    </row>
    <row r="88" ht="15" customHeight="1">
      <c r="A88" s="29" t="n">
        <v>26</v>
      </c>
      <c r="B88" s="30" t="inlineStr">
        <is>
          <t>Cuyamaca</t>
        </is>
      </c>
      <c r="C88" s="31" t="n">
        <v>12863</v>
      </c>
      <c r="D88" s="50">
        <f>C88/C$8</f>
        <v/>
      </c>
      <c r="E88" s="31">
        <f>$D88*E$7*$H$3</f>
        <v/>
      </c>
      <c r="F88" s="31">
        <f>C88*F$7</f>
        <v/>
      </c>
      <c r="G88" s="31">
        <f>$D88*G$7*$H$3</f>
        <v/>
      </c>
      <c r="H88" s="31">
        <f>C88*H$7</f>
        <v/>
      </c>
      <c r="I88" s="31">
        <f>$D88*I$7*$H$3</f>
        <v/>
      </c>
      <c r="J88" s="31">
        <f>C88*J$7</f>
        <v/>
      </c>
      <c r="K88" s="41">
        <f>E88+G88+I88</f>
        <v/>
      </c>
      <c r="L88" s="30" t="inlineStr">
        <is>
          <t>Grossmont-Cuyamaca Community College District</t>
        </is>
      </c>
      <c r="M88" s="30" t="inlineStr">
        <is>
          <t>San Diego</t>
        </is>
      </c>
      <c r="N88" s="34" t="n">
        <v>468583</v>
      </c>
      <c r="O88" s="35">
        <f>N88/N$8</f>
        <v/>
      </c>
      <c r="P88" s="51" t="n"/>
    </row>
    <row r="89" ht="15" customHeight="1">
      <c r="A89" s="29" t="n">
        <v>42</v>
      </c>
      <c r="B89" s="30" t="inlineStr">
        <is>
          <t>Grossmont</t>
        </is>
      </c>
      <c r="C89" s="31" t="n">
        <v>18720</v>
      </c>
      <c r="D89" s="50">
        <f>C89/C$8</f>
        <v/>
      </c>
      <c r="E89" s="31">
        <f>$D89*E$7*$H$3</f>
        <v/>
      </c>
      <c r="F89" s="31">
        <f>C89*F$7</f>
        <v/>
      </c>
      <c r="G89" s="31">
        <f>$D89*G$7*$H$3</f>
        <v/>
      </c>
      <c r="H89" s="31">
        <f>C89*H$7</f>
        <v/>
      </c>
      <c r="I89" s="31">
        <f>$D89*I$7*$H$3</f>
        <v/>
      </c>
      <c r="J89" s="31">
        <f>C89*J$7</f>
        <v/>
      </c>
      <c r="K89" s="41">
        <f>E89+G89+I89</f>
        <v/>
      </c>
      <c r="L89" s="30" t="inlineStr">
        <is>
          <t>Grossmont-Cuyamaca Community College District</t>
        </is>
      </c>
      <c r="M89" s="30" t="inlineStr">
        <is>
          <t>San Diego</t>
        </is>
      </c>
      <c r="N89" s="34" t="n">
        <v>468583</v>
      </c>
      <c r="O89" s="35">
        <f>N89/N$8</f>
        <v/>
      </c>
      <c r="P89" s="51" t="n"/>
    </row>
    <row r="90" ht="15" customHeight="1">
      <c r="A90" s="29" t="n">
        <v>64</v>
      </c>
      <c r="B90" s="30" t="inlineStr">
        <is>
          <t>MiraCosta</t>
        </is>
      </c>
      <c r="C90" s="31" t="n">
        <v>20240</v>
      </c>
      <c r="D90" s="50">
        <f>C90/C$8</f>
        <v/>
      </c>
      <c r="E90" s="31">
        <f>$D90*E$7*$H$3</f>
        <v/>
      </c>
      <c r="F90" s="31">
        <f>C90*F$7</f>
        <v/>
      </c>
      <c r="G90" s="31">
        <f>$D90*G$7*$H$3</f>
        <v/>
      </c>
      <c r="H90" s="31">
        <f>C90*H$7</f>
        <v/>
      </c>
      <c r="I90" s="31">
        <f>$D90*I$7*$H$3</f>
        <v/>
      </c>
      <c r="J90" s="31">
        <f>C90*J$7</f>
        <v/>
      </c>
      <c r="K90" s="41">
        <f>E90+G90+I90</f>
        <v/>
      </c>
      <c r="L90" s="30" t="inlineStr">
        <is>
          <t>MiraCosta Community College District</t>
        </is>
      </c>
      <c r="M90" s="30" t="inlineStr">
        <is>
          <t>San Diego</t>
        </is>
      </c>
      <c r="N90" s="34" t="n">
        <v>468583</v>
      </c>
      <c r="O90" s="35">
        <f>N90/N$8</f>
        <v/>
      </c>
      <c r="P90" s="51" t="n"/>
    </row>
    <row r="91" ht="15" customHeight="1">
      <c r="A91" s="29" t="n">
        <v>79</v>
      </c>
      <c r="B91" s="30" t="inlineStr">
        <is>
          <t>Palomar</t>
        </is>
      </c>
      <c r="C91" s="31" t="n">
        <v>27744</v>
      </c>
      <c r="D91" s="50">
        <f>C91/C$8</f>
        <v/>
      </c>
      <c r="E91" s="31">
        <f>$D91*E$7*$H$3</f>
        <v/>
      </c>
      <c r="F91" s="31">
        <f>C91*F$7</f>
        <v/>
      </c>
      <c r="G91" s="31">
        <f>$D91*G$7*$H$3</f>
        <v/>
      </c>
      <c r="H91" s="31">
        <f>C91*H$7</f>
        <v/>
      </c>
      <c r="I91" s="31">
        <f>$D91*I$7*$H$3</f>
        <v/>
      </c>
      <c r="J91" s="31">
        <f>C91*J$7</f>
        <v/>
      </c>
      <c r="K91" s="41">
        <f>E91+G91+I91</f>
        <v/>
      </c>
      <c r="L91" s="30" t="inlineStr">
        <is>
          <t>Palomar Community College District</t>
        </is>
      </c>
      <c r="M91" s="30" t="inlineStr">
        <is>
          <t>San Diego</t>
        </is>
      </c>
      <c r="N91" s="34" t="n">
        <v>468583</v>
      </c>
      <c r="O91" s="35">
        <f>N91/N$8</f>
        <v/>
      </c>
      <c r="P91" s="51" t="n"/>
    </row>
    <row r="92" ht="15" customHeight="1">
      <c r="A92" s="29" t="n">
        <v>89</v>
      </c>
      <c r="B92" s="30" t="inlineStr">
        <is>
          <t>San Diego Adult</t>
        </is>
      </c>
      <c r="C92" s="31" t="n">
        <v>22103</v>
      </c>
      <c r="D92" s="50">
        <f>C92/C$8</f>
        <v/>
      </c>
      <c r="E92" s="31">
        <f>$D92*E$7*$H$3</f>
        <v/>
      </c>
      <c r="F92" s="31">
        <f>C92*F$7</f>
        <v/>
      </c>
      <c r="G92" s="31">
        <f>$D92*G$7*$H$3</f>
        <v/>
      </c>
      <c r="H92" s="31">
        <f>C92*H$7</f>
        <v/>
      </c>
      <c r="I92" s="31">
        <f>$D92*I$7*$H$3</f>
        <v/>
      </c>
      <c r="J92" s="31">
        <f>C92*J$7</f>
        <v/>
      </c>
      <c r="K92" s="41">
        <f>E92+G92+I92</f>
        <v/>
      </c>
      <c r="L92" s="30" t="inlineStr">
        <is>
          <t>San Diego Community College District</t>
        </is>
      </c>
      <c r="M92" s="30" t="inlineStr">
        <is>
          <t>San Diego</t>
        </is>
      </c>
      <c r="N92" s="34" t="n">
        <v>468583</v>
      </c>
      <c r="O92" s="35">
        <f>N92/N$8</f>
        <v/>
      </c>
      <c r="P92" s="51" t="n"/>
    </row>
    <row r="93" ht="15" customHeight="1">
      <c r="A93" s="29" t="n">
        <v>90</v>
      </c>
      <c r="B93" s="30" t="inlineStr">
        <is>
          <t>San Diego City</t>
        </is>
      </c>
      <c r="C93" s="31" t="n">
        <v>20155</v>
      </c>
      <c r="D93" s="50">
        <f>C93/C$8</f>
        <v/>
      </c>
      <c r="E93" s="31">
        <f>$D93*E$7*$H$3</f>
        <v/>
      </c>
      <c r="F93" s="31">
        <f>C93*F$7</f>
        <v/>
      </c>
      <c r="G93" s="31">
        <f>$D93*G$7*$H$3</f>
        <v/>
      </c>
      <c r="H93" s="31">
        <f>C93*H$7</f>
        <v/>
      </c>
      <c r="I93" s="31">
        <f>$D93*I$7*$H$3</f>
        <v/>
      </c>
      <c r="J93" s="31">
        <f>C93*J$7</f>
        <v/>
      </c>
      <c r="K93" s="41">
        <f>E93+G93+I93</f>
        <v/>
      </c>
      <c r="L93" s="30" t="inlineStr">
        <is>
          <t>San Diego Community College District</t>
        </is>
      </c>
      <c r="M93" s="30" t="inlineStr">
        <is>
          <t>San Diego</t>
        </is>
      </c>
      <c r="N93" s="34" t="n">
        <v>468583</v>
      </c>
      <c r="O93" s="35">
        <f>N93/N$8</f>
        <v/>
      </c>
      <c r="P93" s="51" t="n"/>
    </row>
    <row r="94" ht="15" customHeight="1">
      <c r="A94" s="29" t="n">
        <v>91</v>
      </c>
      <c r="B94" s="30" t="inlineStr">
        <is>
          <t>San Diego Mesa</t>
        </is>
      </c>
      <c r="C94" s="31" t="n">
        <v>29045</v>
      </c>
      <c r="D94" s="50">
        <f>C94/C$8</f>
        <v/>
      </c>
      <c r="E94" s="31">
        <f>$D94*E$7*$H$3</f>
        <v/>
      </c>
      <c r="F94" s="31">
        <f>C94*F$7</f>
        <v/>
      </c>
      <c r="G94" s="31">
        <f>$D94*G$7*$H$3</f>
        <v/>
      </c>
      <c r="H94" s="31">
        <f>C94*H$7</f>
        <v/>
      </c>
      <c r="I94" s="31">
        <f>$D94*I$7*$H$3</f>
        <v/>
      </c>
      <c r="J94" s="31">
        <f>C94*J$7</f>
        <v/>
      </c>
      <c r="K94" s="41">
        <f>E94+G94+I94</f>
        <v/>
      </c>
      <c r="L94" s="30" t="inlineStr">
        <is>
          <t>San Diego Community College District</t>
        </is>
      </c>
      <c r="M94" s="30" t="inlineStr">
        <is>
          <t>San Diego</t>
        </is>
      </c>
      <c r="N94" s="34" t="n">
        <v>468583</v>
      </c>
      <c r="O94" s="35">
        <f>N94/N$8</f>
        <v/>
      </c>
      <c r="P94" s="51" t="n"/>
    </row>
    <row r="95" ht="15" customHeight="1">
      <c r="A95" s="29" t="n">
        <v>92</v>
      </c>
      <c r="B95" s="30" t="inlineStr">
        <is>
          <t>San Diego Miramar</t>
        </is>
      </c>
      <c r="C95" s="31" t="n">
        <v>21498</v>
      </c>
      <c r="D95" s="50">
        <f>C95/C$8</f>
        <v/>
      </c>
      <c r="E95" s="31">
        <f>$D95*E$7*$H$3</f>
        <v/>
      </c>
      <c r="F95" s="31">
        <f>C95*F$7</f>
        <v/>
      </c>
      <c r="G95" s="31">
        <f>$D95*G$7*$H$3</f>
        <v/>
      </c>
      <c r="H95" s="31">
        <f>C95*H$7</f>
        <v/>
      </c>
      <c r="I95" s="31">
        <f>$D95*I$7*$H$3</f>
        <v/>
      </c>
      <c r="J95" s="31">
        <f>C95*J$7</f>
        <v/>
      </c>
      <c r="K95" s="41">
        <f>E95+G95+I95</f>
        <v/>
      </c>
      <c r="L95" s="30" t="inlineStr">
        <is>
          <t>San Diego Community College District</t>
        </is>
      </c>
      <c r="M95" s="30" t="inlineStr">
        <is>
          <t>San Diego</t>
        </is>
      </c>
      <c r="N95" s="34" t="n">
        <v>468583</v>
      </c>
      <c r="O95" s="35">
        <f>N95/N$8</f>
        <v/>
      </c>
      <c r="P95" s="51" t="n"/>
    </row>
    <row r="96" ht="15" customHeight="1">
      <c r="A96" s="29" t="n">
        <v>108</v>
      </c>
      <c r="B96" s="30" t="inlineStr">
        <is>
          <t>Southwestern</t>
        </is>
      </c>
      <c r="C96" s="31" t="n">
        <v>25228</v>
      </c>
      <c r="D96" s="50">
        <f>C96/C$8</f>
        <v/>
      </c>
      <c r="E96" s="31">
        <f>$D96*E$7*$H$3</f>
        <v/>
      </c>
      <c r="F96" s="31">
        <f>C96*F$7</f>
        <v/>
      </c>
      <c r="G96" s="31">
        <f>$D96*G$7*$H$3</f>
        <v/>
      </c>
      <c r="H96" s="31">
        <f>C96*H$7</f>
        <v/>
      </c>
      <c r="I96" s="31">
        <f>$D96*I$7*$H$3</f>
        <v/>
      </c>
      <c r="J96" s="31">
        <f>C96*J$7</f>
        <v/>
      </c>
      <c r="K96" s="41">
        <f>E96+G96+I96</f>
        <v/>
      </c>
      <c r="L96" s="30" t="inlineStr">
        <is>
          <t>Southwestern Community College District</t>
        </is>
      </c>
      <c r="M96" s="30" t="inlineStr">
        <is>
          <t>San Diego</t>
        </is>
      </c>
      <c r="N96" s="34" t="n">
        <v>468583</v>
      </c>
      <c r="O96" s="35">
        <f>N96/N$8</f>
        <v/>
      </c>
      <c r="P96" s="51" t="n"/>
    </row>
    <row r="97" ht="15" customHeight="1">
      <c r="A97" s="29" t="n">
        <v>93</v>
      </c>
      <c r="B97" s="30" t="inlineStr">
        <is>
          <t>San Francisco</t>
        </is>
      </c>
      <c r="C97" s="31" t="n">
        <v>39532</v>
      </c>
      <c r="D97" s="50">
        <f>C97/C$8</f>
        <v/>
      </c>
      <c r="E97" s="31">
        <f>$D97*E$7*$H$3</f>
        <v/>
      </c>
      <c r="F97" s="31">
        <f>C97*F$7</f>
        <v/>
      </c>
      <c r="G97" s="31">
        <f>$D97*G$7*$H$3</f>
        <v/>
      </c>
      <c r="H97" s="31">
        <f>C97*H$7</f>
        <v/>
      </c>
      <c r="I97" s="31">
        <f>$D97*I$7*$H$3</f>
        <v/>
      </c>
      <c r="J97" s="31">
        <f>C97*J$7</f>
        <v/>
      </c>
      <c r="K97" s="41">
        <f>E97+G97+I97</f>
        <v/>
      </c>
      <c r="L97" s="30" t="inlineStr">
        <is>
          <t>San Francisco Community College District</t>
        </is>
      </c>
      <c r="M97" s="30" t="inlineStr">
        <is>
          <t>San Francisco</t>
        </is>
      </c>
      <c r="N97" s="34" t="n">
        <v>72403</v>
      </c>
      <c r="O97" s="35">
        <f>N97/N$8</f>
        <v/>
      </c>
      <c r="P97" s="51" t="n"/>
    </row>
    <row r="98" ht="15" customHeight="1">
      <c r="A98" s="29" t="n">
        <v>94</v>
      </c>
      <c r="B98" s="30" t="inlineStr">
        <is>
          <t>San Joaquin Delta</t>
        </is>
      </c>
      <c r="C98" s="31" t="n">
        <v>23408</v>
      </c>
      <c r="D98" s="50">
        <f>C98/C$8</f>
        <v/>
      </c>
      <c r="E98" s="31">
        <f>$D98*E$7*$H$3</f>
        <v/>
      </c>
      <c r="F98" s="31">
        <f>C98*F$7</f>
        <v/>
      </c>
      <c r="G98" s="31">
        <f>$D98*G$7*$H$3</f>
        <v/>
      </c>
      <c r="H98" s="31">
        <f>C98*H$7</f>
        <v/>
      </c>
      <c r="I98" s="31">
        <f>$D98*I$7*$H$3</f>
        <v/>
      </c>
      <c r="J98" s="31">
        <f>C98*J$7</f>
        <v/>
      </c>
      <c r="K98" s="41">
        <f>E98+G98+I98</f>
        <v/>
      </c>
      <c r="L98" s="30" t="inlineStr">
        <is>
          <t>San Joaquin Delta Community College District</t>
        </is>
      </c>
      <c r="M98" s="30" t="inlineStr">
        <is>
          <t>San Joaquin</t>
        </is>
      </c>
      <c r="N98" s="34" t="n">
        <v>106683</v>
      </c>
      <c r="O98" s="35">
        <f>N98/N$8</f>
        <v/>
      </c>
      <c r="P98" s="51" t="n"/>
    </row>
    <row r="99" ht="15" customHeight="1">
      <c r="A99" s="29" t="n">
        <v>25</v>
      </c>
      <c r="B99" s="30" t="inlineStr">
        <is>
          <t>Cuesta</t>
        </is>
      </c>
      <c r="C99" s="31" t="n">
        <v>16728</v>
      </c>
      <c r="D99" s="50">
        <f>C99/C$8</f>
        <v/>
      </c>
      <c r="E99" s="31">
        <f>$D99*E$7*$H$3</f>
        <v/>
      </c>
      <c r="F99" s="31">
        <f>C99*F$7</f>
        <v/>
      </c>
      <c r="G99" s="31">
        <f>$D99*G$7*$H$3</f>
        <v/>
      </c>
      <c r="H99" s="31">
        <f>C99*H$7</f>
        <v/>
      </c>
      <c r="I99" s="31">
        <f>$D99*I$7*$H$3</f>
        <v/>
      </c>
      <c r="J99" s="31">
        <f>C99*J$7</f>
        <v/>
      </c>
      <c r="K99" s="41">
        <f>E99+G99+I99</f>
        <v/>
      </c>
      <c r="L99" s="30" t="inlineStr">
        <is>
          <t>San Luis Obispo County Community College District</t>
        </is>
      </c>
      <c r="M99" s="30" t="inlineStr">
        <is>
          <t>San Luis Obispo</t>
        </is>
      </c>
      <c r="N99" s="34" t="n">
        <v>45711</v>
      </c>
      <c r="O99" s="35">
        <f>N99/N$8</f>
        <v/>
      </c>
      <c r="P99" s="51" t="n"/>
    </row>
    <row r="100" ht="15" customHeight="1">
      <c r="A100" s="29" t="n">
        <v>10</v>
      </c>
      <c r="B100" s="30" t="inlineStr">
        <is>
          <t>Canada</t>
        </is>
      </c>
      <c r="C100" s="31" t="n">
        <v>9785</v>
      </c>
      <c r="D100" s="50">
        <f>C100/C$8</f>
        <v/>
      </c>
      <c r="E100" s="31">
        <f>$D100*E$7*$H$3</f>
        <v/>
      </c>
      <c r="F100" s="31">
        <f>C100*F$7</f>
        <v/>
      </c>
      <c r="G100" s="31">
        <f>$D100*G$7*$H$3</f>
        <v/>
      </c>
      <c r="H100" s="31">
        <f>C100*H$7</f>
        <v/>
      </c>
      <c r="I100" s="31">
        <f>$D100*I$7*$H$3</f>
        <v/>
      </c>
      <c r="J100" s="31">
        <f>C100*J$7</f>
        <v/>
      </c>
      <c r="K100" s="41">
        <f>E100+G100+I100</f>
        <v/>
      </c>
      <c r="L100" s="30" t="inlineStr">
        <is>
          <t>San Mateo County Community College District</t>
        </is>
      </c>
      <c r="M100" s="30" t="inlineStr">
        <is>
          <t>San Mateo</t>
        </is>
      </c>
      <c r="N100" s="34" t="n">
        <v>78896</v>
      </c>
      <c r="O100" s="35">
        <f>N100/N$8</f>
        <v/>
      </c>
      <c r="P100" s="51" t="n"/>
    </row>
    <row r="101" ht="15" customHeight="1">
      <c r="A101" s="29" t="n">
        <v>96</v>
      </c>
      <c r="B101" s="30" t="inlineStr">
        <is>
          <t>San Mateo</t>
        </is>
      </c>
      <c r="C101" s="31" t="n">
        <v>12930</v>
      </c>
      <c r="D101" s="50">
        <f>C101/C$8</f>
        <v/>
      </c>
      <c r="E101" s="31">
        <f>$D101*E$7*$H$3</f>
        <v/>
      </c>
      <c r="F101" s="31">
        <f>C101*F$7</f>
        <v/>
      </c>
      <c r="G101" s="31">
        <f>$D101*G$7*$H$3</f>
        <v/>
      </c>
      <c r="H101" s="31">
        <f>C101*H$7</f>
        <v/>
      </c>
      <c r="I101" s="31">
        <f>$D101*I$7*$H$3</f>
        <v/>
      </c>
      <c r="J101" s="31">
        <f>C101*J$7</f>
        <v/>
      </c>
      <c r="K101" s="41">
        <f>E101+G101+I101</f>
        <v/>
      </c>
      <c r="L101" s="30" t="inlineStr">
        <is>
          <t>San Mateo County Community College District</t>
        </is>
      </c>
      <c r="M101" s="30" t="inlineStr">
        <is>
          <t>San Mateo</t>
        </is>
      </c>
      <c r="N101" s="34" t="n">
        <v>78896</v>
      </c>
      <c r="O101" s="35">
        <f>N101/N$8</f>
        <v/>
      </c>
      <c r="P101" s="51" t="n"/>
    </row>
    <row r="102" ht="15" customHeight="1">
      <c r="A102" s="29" t="n">
        <v>106</v>
      </c>
      <c r="B102" s="30" t="inlineStr">
        <is>
          <t>Skyline</t>
        </is>
      </c>
      <c r="C102" s="31" t="n">
        <v>15497</v>
      </c>
      <c r="D102" s="50">
        <f>C102/C$8</f>
        <v/>
      </c>
      <c r="E102" s="31">
        <f>$D102*E$7*$H$3</f>
        <v/>
      </c>
      <c r="F102" s="31">
        <f>C102*F$7</f>
        <v/>
      </c>
      <c r="G102" s="31">
        <f>$D102*G$7*$H$3</f>
        <v/>
      </c>
      <c r="H102" s="31">
        <f>C102*H$7</f>
        <v/>
      </c>
      <c r="I102" s="31">
        <f>$D102*I$7*$H$3</f>
        <v/>
      </c>
      <c r="J102" s="31">
        <f>C102*J$7</f>
        <v/>
      </c>
      <c r="K102" s="41">
        <f>E102+G102+I102</f>
        <v/>
      </c>
      <c r="L102" s="30" t="inlineStr">
        <is>
          <t>San Mateo County Community College District</t>
        </is>
      </c>
      <c r="M102" s="30" t="inlineStr">
        <is>
          <t>San Mateo</t>
        </is>
      </c>
      <c r="N102" s="34" t="n">
        <v>78896</v>
      </c>
      <c r="O102" s="35">
        <f>N102/N$8</f>
        <v/>
      </c>
      <c r="P102" s="51" t="n"/>
    </row>
    <row r="103" ht="15" customHeight="1">
      <c r="A103" s="29" t="n">
        <v>2</v>
      </c>
      <c r="B103" s="30" t="inlineStr">
        <is>
          <t>Allan Hancock</t>
        </is>
      </c>
      <c r="C103" s="31" t="n">
        <v>18376</v>
      </c>
      <c r="D103" s="50">
        <f>C103/C$8</f>
        <v/>
      </c>
      <c r="E103" s="31">
        <f>$D103*E$7*$H$3</f>
        <v/>
      </c>
      <c r="F103" s="31">
        <f>C103*F$7</f>
        <v/>
      </c>
      <c r="G103" s="31">
        <f>$D103*G$7*$H$3</f>
        <v/>
      </c>
      <c r="H103" s="31">
        <f>C103*H$7</f>
        <v/>
      </c>
      <c r="I103" s="31">
        <f>$D103*I$7*$H$3</f>
        <v/>
      </c>
      <c r="J103" s="31">
        <f>C103*J$7</f>
        <v/>
      </c>
      <c r="K103" s="41">
        <f>E103+G103+I103</f>
        <v/>
      </c>
      <c r="L103" s="30" t="inlineStr">
        <is>
          <t>Allan Hancock Joint Community College District</t>
        </is>
      </c>
      <c r="M103" s="30" t="inlineStr">
        <is>
          <t>Santa Barbara</t>
        </is>
      </c>
      <c r="N103" s="34" t="n">
        <v>54159</v>
      </c>
      <c r="O103" s="35">
        <f>N103/N$8</f>
        <v/>
      </c>
      <c r="P103" s="51" t="n"/>
    </row>
    <row r="104" ht="15" customHeight="1">
      <c r="A104" s="29" t="n">
        <v>98</v>
      </c>
      <c r="B104" s="30" t="inlineStr">
        <is>
          <t>Santa Barbara</t>
        </is>
      </c>
      <c r="C104" s="31" t="n">
        <v>25307</v>
      </c>
      <c r="D104" s="50">
        <f>C104/C$8</f>
        <v/>
      </c>
      <c r="E104" s="31">
        <f>$D104*E$7*$H$3</f>
        <v/>
      </c>
      <c r="F104" s="31">
        <f>C104*F$7</f>
        <v/>
      </c>
      <c r="G104" s="31">
        <f>$D104*G$7*$H$3</f>
        <v/>
      </c>
      <c r="H104" s="31">
        <f>C104*H$7</f>
        <v/>
      </c>
      <c r="I104" s="31">
        <f>$D104*I$7*$H$3</f>
        <v/>
      </c>
      <c r="J104" s="31">
        <f>C104*J$7</f>
        <v/>
      </c>
      <c r="K104" s="41">
        <f>E104+G104+I104</f>
        <v/>
      </c>
      <c r="L104" s="30" t="inlineStr">
        <is>
          <t>Santa Barbara Community College District</t>
        </is>
      </c>
      <c r="M104" s="30" t="inlineStr">
        <is>
          <t>Santa Barbara</t>
        </is>
      </c>
      <c r="N104" s="34" t="n">
        <v>54159</v>
      </c>
      <c r="O104" s="35">
        <f>N104/N$8</f>
        <v/>
      </c>
      <c r="P104" s="51" t="n"/>
    </row>
    <row r="105" ht="15" customHeight="1">
      <c r="A105" s="29" t="n">
        <v>28</v>
      </c>
      <c r="B105" s="30" t="inlineStr">
        <is>
          <t>Deanza</t>
        </is>
      </c>
      <c r="C105" s="31" t="n">
        <v>27215</v>
      </c>
      <c r="D105" s="50">
        <f>C105/C$8</f>
        <v/>
      </c>
      <c r="E105" s="31">
        <f>$D105*E$7*$H$3</f>
        <v/>
      </c>
      <c r="F105" s="31">
        <f>C105*F$7</f>
        <v/>
      </c>
      <c r="G105" s="31">
        <f>$D105*G$7*$H$3</f>
        <v/>
      </c>
      <c r="H105" s="31">
        <f>C105*H$7</f>
        <v/>
      </c>
      <c r="I105" s="31">
        <f>$D105*I$7*$H$3</f>
        <v/>
      </c>
      <c r="J105" s="31">
        <f>C105*J$7</f>
        <v/>
      </c>
      <c r="K105" s="41">
        <f>E105+G105+I105</f>
        <v/>
      </c>
      <c r="L105" s="30" t="inlineStr">
        <is>
          <t>Foothill-De Anza Community College District</t>
        </is>
      </c>
      <c r="M105" s="30" t="inlineStr">
        <is>
          <t>Santa Clara</t>
        </is>
      </c>
      <c r="N105" s="34" t="n">
        <v>171522</v>
      </c>
      <c r="O105" s="35">
        <f>N105/N$8</f>
        <v/>
      </c>
      <c r="P105" s="51" t="n"/>
    </row>
    <row r="106" ht="15" customHeight="1">
      <c r="A106" s="29" t="n">
        <v>33</v>
      </c>
      <c r="B106" s="30" t="inlineStr">
        <is>
          <t>Evergreen Valley</t>
        </is>
      </c>
      <c r="C106" s="31" t="n">
        <v>13401</v>
      </c>
      <c r="D106" s="50">
        <f>C106/C$8</f>
        <v/>
      </c>
      <c r="E106" s="31">
        <f>$D106*E$7*$H$3</f>
        <v/>
      </c>
      <c r="F106" s="31">
        <f>C106*F$7</f>
        <v/>
      </c>
      <c r="G106" s="31">
        <f>$D106*G$7*$H$3</f>
        <v/>
      </c>
      <c r="H106" s="31">
        <f>C106*H$7</f>
        <v/>
      </c>
      <c r="I106" s="31">
        <f>$D106*I$7*$H$3</f>
        <v/>
      </c>
      <c r="J106" s="31">
        <f>C106*J$7</f>
        <v/>
      </c>
      <c r="K106" s="41">
        <f>E106+G106+I106</f>
        <v/>
      </c>
      <c r="L106" s="30" t="inlineStr">
        <is>
          <t>San Jose-Evergreen Community College District</t>
        </is>
      </c>
      <c r="M106" s="30" t="inlineStr">
        <is>
          <t>Santa Clara</t>
        </is>
      </c>
      <c r="N106" s="34" t="n">
        <v>171522</v>
      </c>
      <c r="O106" s="35">
        <f>N106/N$8</f>
        <v/>
      </c>
      <c r="P106" s="51" t="n"/>
    </row>
    <row r="107" ht="15" customHeight="1">
      <c r="A107" s="29" t="n">
        <v>36</v>
      </c>
      <c r="B107" s="30" t="inlineStr">
        <is>
          <t>Foothill</t>
        </is>
      </c>
      <c r="C107" s="31" t="n">
        <v>24888</v>
      </c>
      <c r="D107" s="50">
        <f>C107/C$8</f>
        <v/>
      </c>
      <c r="E107" s="31">
        <f>$D107*E$7*$H$3</f>
        <v/>
      </c>
      <c r="F107" s="31">
        <f>C107*F$7</f>
        <v/>
      </c>
      <c r="G107" s="31">
        <f>$D107*G$7*$H$3</f>
        <v/>
      </c>
      <c r="H107" s="31">
        <f>C107*H$7</f>
        <v/>
      </c>
      <c r="I107" s="31">
        <f>$D107*I$7*$H$3</f>
        <v/>
      </c>
      <c r="J107" s="31">
        <f>C107*J$7</f>
        <v/>
      </c>
      <c r="K107" s="41">
        <f>E107+G107+I107</f>
        <v/>
      </c>
      <c r="L107" s="30" t="inlineStr">
        <is>
          <t>Foothill-De Anza Community College District</t>
        </is>
      </c>
      <c r="M107" s="30" t="inlineStr">
        <is>
          <t>Santa Clara</t>
        </is>
      </c>
      <c r="N107" s="34" t="n">
        <v>171522</v>
      </c>
      <c r="O107" s="35">
        <f>N107/N$8</f>
        <v/>
      </c>
      <c r="P107" s="51" t="n"/>
    </row>
    <row r="108" ht="15" customHeight="1">
      <c r="A108" s="29" t="n">
        <v>39</v>
      </c>
      <c r="B108" s="30" t="inlineStr">
        <is>
          <t>Gavilan</t>
        </is>
      </c>
      <c r="C108" s="31" t="n">
        <v>8698</v>
      </c>
      <c r="D108" s="50">
        <f>C108/C$8</f>
        <v/>
      </c>
      <c r="E108" s="31">
        <f>$D108*E$7*$H$3</f>
        <v/>
      </c>
      <c r="F108" s="31">
        <f>C108*F$7</f>
        <v/>
      </c>
      <c r="G108" s="31">
        <f>$D108*G$7*$H$3</f>
        <v/>
      </c>
      <c r="H108" s="31">
        <f>C108*H$7</f>
        <v/>
      </c>
      <c r="I108" s="31">
        <f>$D108*I$7*$H$3</f>
        <v/>
      </c>
      <c r="J108" s="31">
        <f>C108*J$7</f>
        <v/>
      </c>
      <c r="K108" s="41">
        <f>E108+G108+I108</f>
        <v/>
      </c>
      <c r="L108" s="30" t="inlineStr">
        <is>
          <t>Gavilan Joint Community College District</t>
        </is>
      </c>
      <c r="M108" s="30" t="inlineStr">
        <is>
          <t>Santa Clara</t>
        </is>
      </c>
      <c r="N108" s="34" t="n">
        <v>171522</v>
      </c>
      <c r="O108" s="35">
        <f>N108/N$8</f>
        <v/>
      </c>
      <c r="P108" s="51" t="n"/>
    </row>
    <row r="109" ht="15" customHeight="1">
      <c r="A109" s="29" t="n">
        <v>65</v>
      </c>
      <c r="B109" s="30" t="inlineStr">
        <is>
          <t>Mission</t>
        </is>
      </c>
      <c r="C109" s="31" t="n">
        <v>11064</v>
      </c>
      <c r="D109" s="50">
        <f>C109/C$8</f>
        <v/>
      </c>
      <c r="E109" s="31">
        <f>$D109*E$7*$H$3</f>
        <v/>
      </c>
      <c r="F109" s="31">
        <f>C109*F$7</f>
        <v/>
      </c>
      <c r="G109" s="31">
        <f>$D109*G$7*$H$3</f>
        <v/>
      </c>
      <c r="H109" s="31">
        <f>C109*H$7</f>
        <v/>
      </c>
      <c r="I109" s="31">
        <f>$D109*I$7*$H$3</f>
        <v/>
      </c>
      <c r="J109" s="31">
        <f>C109*J$7</f>
        <v/>
      </c>
      <c r="K109" s="41">
        <f>E109+G109+I109</f>
        <v/>
      </c>
      <c r="L109" s="30" t="inlineStr">
        <is>
          <t>West Valley-Mission Community College District</t>
        </is>
      </c>
      <c r="M109" s="30" t="inlineStr">
        <is>
          <t>Santa Clara</t>
        </is>
      </c>
      <c r="N109" s="34" t="n">
        <v>171522</v>
      </c>
      <c r="O109" s="35">
        <f>N109/N$8</f>
        <v/>
      </c>
      <c r="P109" s="51" t="n"/>
    </row>
    <row r="110" ht="15" customHeight="1">
      <c r="A110" s="29" t="n">
        <v>95</v>
      </c>
      <c r="B110" s="30" t="inlineStr">
        <is>
          <t>San Jose City</t>
        </is>
      </c>
      <c r="C110" s="31" t="n">
        <v>13032</v>
      </c>
      <c r="D110" s="50">
        <f>C110/C$8</f>
        <v/>
      </c>
      <c r="E110" s="31">
        <f>$D110*E$7*$H$3</f>
        <v/>
      </c>
      <c r="F110" s="31">
        <f>C110*F$7</f>
        <v/>
      </c>
      <c r="G110" s="31">
        <f>$D110*G$7*$H$3</f>
        <v/>
      </c>
      <c r="H110" s="31">
        <f>C110*H$7</f>
        <v/>
      </c>
      <c r="I110" s="31">
        <f>$D110*I$7*$H$3</f>
        <v/>
      </c>
      <c r="J110" s="31">
        <f>C110*J$7</f>
        <v/>
      </c>
      <c r="K110" s="41">
        <f>E110+G110+I110</f>
        <v/>
      </c>
      <c r="L110" s="30" t="inlineStr">
        <is>
          <t>San Jose-Evergreen Community College District</t>
        </is>
      </c>
      <c r="M110" s="30" t="inlineStr">
        <is>
          <t>Santa Clara</t>
        </is>
      </c>
      <c r="N110" s="34" t="n">
        <v>171522</v>
      </c>
      <c r="O110" s="35">
        <f>N110/N$8</f>
        <v/>
      </c>
      <c r="P110" s="51" t="n"/>
    </row>
    <row r="111" ht="15" customHeight="1">
      <c r="A111" s="29" t="n">
        <v>115</v>
      </c>
      <c r="B111" s="30" t="inlineStr">
        <is>
          <t>West Valley</t>
        </is>
      </c>
      <c r="C111" s="31" t="n">
        <v>12576</v>
      </c>
      <c r="D111" s="50">
        <f>C111/C$8</f>
        <v/>
      </c>
      <c r="E111" s="31">
        <f>$D111*E$7*$H$3</f>
        <v/>
      </c>
      <c r="F111" s="31">
        <f>C111*F$7</f>
        <v/>
      </c>
      <c r="G111" s="31">
        <f>$D111*G$7*$H$3</f>
        <v/>
      </c>
      <c r="H111" s="31">
        <f>C111*H$7</f>
        <v/>
      </c>
      <c r="I111" s="31">
        <f>$D111*I$7*$H$3</f>
        <v/>
      </c>
      <c r="J111" s="31">
        <f>C111*J$7</f>
        <v/>
      </c>
      <c r="K111" s="41">
        <f>E111+G111+I111</f>
        <v/>
      </c>
      <c r="L111" s="30" t="inlineStr">
        <is>
          <t>West Valley-Mission Community College District</t>
        </is>
      </c>
      <c r="M111" s="30" t="inlineStr">
        <is>
          <t>Santa Clara</t>
        </is>
      </c>
      <c r="N111" s="34" t="n">
        <v>171522</v>
      </c>
      <c r="O111" s="35">
        <f>N111/N$8</f>
        <v/>
      </c>
      <c r="P111" s="51" t="n"/>
    </row>
    <row r="112" ht="15" customHeight="1">
      <c r="A112" s="29" t="n">
        <v>9</v>
      </c>
      <c r="B112" s="30" t="inlineStr">
        <is>
          <t>Cabrillo</t>
        </is>
      </c>
      <c r="C112" s="31" t="n">
        <v>14909</v>
      </c>
      <c r="D112" s="50">
        <f>C112/C$8</f>
        <v/>
      </c>
      <c r="E112" s="31">
        <f>$D112*E$7*$H$3</f>
        <v/>
      </c>
      <c r="F112" s="31">
        <f>C112*F$7</f>
        <v/>
      </c>
      <c r="G112" s="31">
        <f>$D112*G$7*$H$3</f>
        <v/>
      </c>
      <c r="H112" s="31">
        <f>C112*H$7</f>
        <v/>
      </c>
      <c r="I112" s="31">
        <f>$D112*I$7*$H$3</f>
        <v/>
      </c>
      <c r="J112" s="31">
        <f>C112*J$7</f>
        <v/>
      </c>
      <c r="K112" s="41">
        <f>E112+G112+I112</f>
        <v/>
      </c>
      <c r="L112" s="30" t="inlineStr">
        <is>
          <t>Cabrillo Community College District</t>
        </is>
      </c>
      <c r="M112" s="30" t="inlineStr">
        <is>
          <t>Santa Cruz</t>
        </is>
      </c>
      <c r="N112" s="34" t="n">
        <v>36341</v>
      </c>
      <c r="O112" s="35">
        <f>N112/N$8</f>
        <v/>
      </c>
      <c r="P112" s="51" t="n"/>
    </row>
    <row r="113" ht="15" customHeight="1">
      <c r="A113" s="29" t="n">
        <v>103</v>
      </c>
      <c r="B113" s="30" t="inlineStr">
        <is>
          <t>Shasta</t>
        </is>
      </c>
      <c r="C113" s="31" t="n">
        <v>12424</v>
      </c>
      <c r="D113" s="50">
        <f>C113/C$8</f>
        <v/>
      </c>
      <c r="E113" s="31">
        <f>$D113*E$7*$H$3</f>
        <v/>
      </c>
      <c r="F113" s="31">
        <f>C113*F$7</f>
        <v/>
      </c>
      <c r="G113" s="31">
        <f>$D113*G$7*$H$3</f>
        <v/>
      </c>
      <c r="H113" s="31">
        <f>C113*H$7</f>
        <v/>
      </c>
      <c r="I113" s="31">
        <f>$D113*I$7*$H$3</f>
        <v/>
      </c>
      <c r="J113" s="31">
        <f>C113*J$7</f>
        <v/>
      </c>
      <c r="K113" s="41">
        <f>E113+G113+I113</f>
        <v/>
      </c>
      <c r="L113" s="30" t="inlineStr">
        <is>
          <t>Shasta-Tehama-Trinity Joint Community College District</t>
        </is>
      </c>
      <c r="M113" s="30" t="inlineStr">
        <is>
          <t>Shasta</t>
        </is>
      </c>
      <c r="N113" s="34" t="n">
        <v>40002</v>
      </c>
      <c r="O113" s="35">
        <f>N113/N$8</f>
        <v/>
      </c>
      <c r="P113" s="51" t="n"/>
    </row>
    <row r="114" ht="15" customHeight="1">
      <c r="A114" s="29" t="n">
        <v>105</v>
      </c>
      <c r="B114" s="30" t="inlineStr">
        <is>
          <t>Siskiyous</t>
        </is>
      </c>
      <c r="C114" s="31" t="n">
        <v>2837</v>
      </c>
      <c r="D114" s="50">
        <f>C114/C$8</f>
        <v/>
      </c>
      <c r="E114" s="31">
        <f>$D114*E$7*$H$3</f>
        <v/>
      </c>
      <c r="F114" s="31">
        <f>C114*F$7</f>
        <v/>
      </c>
      <c r="G114" s="31">
        <f>$D114*G$7*$H$3</f>
        <v/>
      </c>
      <c r="H114" s="31">
        <f>C114*H$7</f>
        <v/>
      </c>
      <c r="I114" s="31">
        <f>$D114*I$7*$H$3</f>
        <v/>
      </c>
      <c r="J114" s="31">
        <f>C114*J$7</f>
        <v/>
      </c>
      <c r="K114" s="41">
        <f>E114+G114+I114</f>
        <v/>
      </c>
      <c r="L114" s="30" t="inlineStr">
        <is>
          <t>Siskiyou Joint Community College District</t>
        </is>
      </c>
      <c r="M114" s="30" t="inlineStr">
        <is>
          <t>Siskiyou</t>
        </is>
      </c>
      <c r="N114" s="37" t="inlineStr">
        <is>
          <t>N/A*</t>
        </is>
      </c>
      <c r="O114" s="35">
        <f>N114/N$8</f>
        <v/>
      </c>
      <c r="P114" s="51" t="n"/>
    </row>
    <row r="115" ht="15" customHeight="1">
      <c r="A115" s="29" t="n">
        <v>107</v>
      </c>
      <c r="B115" s="30" t="inlineStr">
        <is>
          <t>Solano</t>
        </is>
      </c>
      <c r="C115" s="31" t="n">
        <v>12273</v>
      </c>
      <c r="D115" s="50">
        <f>C115/C$8</f>
        <v/>
      </c>
      <c r="E115" s="31">
        <f>$D115*E$7*$H$3</f>
        <v/>
      </c>
      <c r="F115" s="31">
        <f>C115*F$7</f>
        <v/>
      </c>
      <c r="G115" s="31">
        <f>$D115*G$7*$H$3</f>
        <v/>
      </c>
      <c r="H115" s="31">
        <f>C115*H$7</f>
        <v/>
      </c>
      <c r="I115" s="31">
        <f>$D115*I$7*$H$3</f>
        <v/>
      </c>
      <c r="J115" s="31">
        <f>C115*J$7</f>
        <v/>
      </c>
      <c r="K115" s="41">
        <f>E115+G115+I115</f>
        <v/>
      </c>
      <c r="L115" s="30" t="inlineStr">
        <is>
          <t>Solano County Community College District</t>
        </is>
      </c>
      <c r="M115" s="30" t="inlineStr">
        <is>
          <t>Solano</t>
        </is>
      </c>
      <c r="N115" s="34" t="n">
        <v>77534</v>
      </c>
      <c r="O115" s="35">
        <f>N115/N$8</f>
        <v/>
      </c>
      <c r="P115" s="51" t="n"/>
    </row>
    <row r="116" ht="15" customHeight="1">
      <c r="A116" s="29" t="n">
        <v>100</v>
      </c>
      <c r="B116" s="30" t="inlineStr">
        <is>
          <t>Santa Rosa</t>
        </is>
      </c>
      <c r="C116" s="31" t="n">
        <v>30917</v>
      </c>
      <c r="D116" s="50">
        <f>C116/C$8</f>
        <v/>
      </c>
      <c r="E116" s="31">
        <f>$D116*E$7*$H$3</f>
        <v/>
      </c>
      <c r="F116" s="31">
        <f>C116*F$7</f>
        <v/>
      </c>
      <c r="G116" s="31">
        <f>$D116*G$7*$H$3</f>
        <v/>
      </c>
      <c r="H116" s="31">
        <f>C116*H$7</f>
        <v/>
      </c>
      <c r="I116" s="31">
        <f>$D116*I$7*$H$3</f>
        <v/>
      </c>
      <c r="J116" s="31">
        <f>C116*J$7</f>
        <v/>
      </c>
      <c r="K116" s="41">
        <f>E116+G116+I116</f>
        <v/>
      </c>
      <c r="L116" s="30" t="inlineStr">
        <is>
          <t>Sonoma County Junior College District</t>
        </is>
      </c>
      <c r="M116" s="30" t="inlineStr">
        <is>
          <t>Sonoma</t>
        </is>
      </c>
      <c r="N116" s="34" t="n">
        <v>82997</v>
      </c>
      <c r="O116" s="35">
        <f>N116/N$8</f>
        <v/>
      </c>
      <c r="P116" s="51" t="n"/>
    </row>
    <row r="117" ht="15" customHeight="1">
      <c r="A117" s="29" t="n">
        <v>66</v>
      </c>
      <c r="B117" s="30" t="inlineStr">
        <is>
          <t>Modesto</t>
        </is>
      </c>
      <c r="C117" s="31" t="n">
        <v>24685</v>
      </c>
      <c r="D117" s="50">
        <f>C117/C$8</f>
        <v/>
      </c>
      <c r="E117" s="31">
        <f>$D117*E$7*$H$3</f>
        <v/>
      </c>
      <c r="F117" s="31">
        <f>C117*F$7</f>
        <v/>
      </c>
      <c r="G117" s="31">
        <f>$D117*G$7*$H$3</f>
        <v/>
      </c>
      <c r="H117" s="31">
        <f>C117*H$7</f>
        <v/>
      </c>
      <c r="I117" s="31">
        <f>$D117*I$7*$H$3</f>
        <v/>
      </c>
      <c r="J117" s="31">
        <f>C117*J$7</f>
        <v/>
      </c>
      <c r="K117" s="41">
        <f>E117+G117+I117</f>
        <v/>
      </c>
      <c r="L117" s="30" t="inlineStr">
        <is>
          <t>Yosemite Community College District</t>
        </is>
      </c>
      <c r="M117" s="30" t="inlineStr">
        <is>
          <t>Stanislaus</t>
        </is>
      </c>
      <c r="N117" s="34" t="n">
        <v>81075</v>
      </c>
      <c r="O117" s="35">
        <f>N117/N$8</f>
        <v/>
      </c>
      <c r="P117" s="51" t="n"/>
    </row>
    <row r="118" ht="15" customHeight="1">
      <c r="A118" s="29" t="n">
        <v>118</v>
      </c>
      <c r="B118" s="30" t="inlineStr">
        <is>
          <t>CalBright</t>
        </is>
      </c>
      <c r="C118" s="31" t="n">
        <v>2484</v>
      </c>
      <c r="D118" s="50">
        <f>C118/C$8</f>
        <v/>
      </c>
      <c r="E118" s="31">
        <f>$D118*E$7*$H$3</f>
        <v/>
      </c>
      <c r="F118" s="31">
        <f>C118*F$7</f>
        <v/>
      </c>
      <c r="G118" s="31">
        <f>$D118*G$7*$H$3</f>
        <v/>
      </c>
      <c r="H118" s="31">
        <f>C118*H$7</f>
        <v/>
      </c>
      <c r="I118" s="31">
        <f>$D118*I$7*$H$3</f>
        <v/>
      </c>
      <c r="J118" s="31">
        <f>C118*J$7</f>
        <v/>
      </c>
      <c r="K118" s="41">
        <f>E118+G118+I118</f>
        <v/>
      </c>
      <c r="L118" s="38" t="inlineStr">
        <is>
          <t>California Online Community College District</t>
        </is>
      </c>
      <c r="M118" s="38" t="inlineStr">
        <is>
          <t>Statewide</t>
        </is>
      </c>
      <c r="N118" s="39" t="n">
        <v>5106199</v>
      </c>
      <c r="O118" s="40">
        <f>N118/N$8</f>
        <v/>
      </c>
      <c r="P118" s="51" t="n"/>
    </row>
    <row r="119" ht="15" customHeight="1">
      <c r="A119" s="29" t="n">
        <v>81</v>
      </c>
      <c r="B119" s="30" t="inlineStr">
        <is>
          <t>Porterville</t>
        </is>
      </c>
      <c r="C119" s="31" t="n">
        <v>5751</v>
      </c>
      <c r="D119" s="50">
        <f>C119/C$8</f>
        <v/>
      </c>
      <c r="E119" s="31">
        <f>$D119*E$7*$H$3</f>
        <v/>
      </c>
      <c r="F119" s="31">
        <f>C119*F$7</f>
        <v/>
      </c>
      <c r="G119" s="31">
        <f>$D119*G$7*$H$3</f>
        <v/>
      </c>
      <c r="H119" s="31">
        <f>C119*H$7</f>
        <v/>
      </c>
      <c r="I119" s="31">
        <f>$D119*I$7*$H$3</f>
        <v/>
      </c>
      <c r="J119" s="31">
        <f>C119*J$7</f>
        <v/>
      </c>
      <c r="K119" s="41">
        <f>E119+G119+I119</f>
        <v/>
      </c>
      <c r="L119" s="30" t="inlineStr">
        <is>
          <t>Kern Community College District</t>
        </is>
      </c>
      <c r="M119" s="30" t="inlineStr">
        <is>
          <t>Tulare</t>
        </is>
      </c>
      <c r="N119" s="34" t="n">
        <v>63560</v>
      </c>
      <c r="O119" s="35">
        <f>N119/N$8</f>
        <v/>
      </c>
      <c r="P119" s="51" t="n"/>
    </row>
    <row r="120" ht="15" customHeight="1">
      <c r="A120" s="29" t="n">
        <v>102</v>
      </c>
      <c r="B120" s="30" t="inlineStr">
        <is>
          <t>Sequoias</t>
        </is>
      </c>
      <c r="C120" s="31" t="n">
        <v>17376</v>
      </c>
      <c r="D120" s="50">
        <f>C120/C$8</f>
        <v/>
      </c>
      <c r="E120" s="31">
        <f>$D120*E$7*$H$3</f>
        <v/>
      </c>
      <c r="F120" s="31">
        <f>C120*F$7</f>
        <v/>
      </c>
      <c r="G120" s="31">
        <f>$D120*G$7*$H$3</f>
        <v/>
      </c>
      <c r="H120" s="31">
        <f>C120*H$7</f>
        <v/>
      </c>
      <c r="I120" s="31">
        <f>$D120*I$7*$H$3</f>
        <v/>
      </c>
      <c r="J120" s="31">
        <f>C120*J$7</f>
        <v/>
      </c>
      <c r="K120" s="41">
        <f>E120+G120+I120</f>
        <v/>
      </c>
      <c r="L120" s="30" t="inlineStr">
        <is>
          <t>Sequoias Community College District</t>
        </is>
      </c>
      <c r="M120" s="30" t="inlineStr">
        <is>
          <t>Tulare</t>
        </is>
      </c>
      <c r="N120" s="34" t="n">
        <v>63560</v>
      </c>
      <c r="O120" s="35">
        <f>N120/N$8</f>
        <v/>
      </c>
      <c r="P120" s="51" t="n"/>
    </row>
    <row r="121" ht="15" customHeight="1">
      <c r="A121" s="29" t="n">
        <v>19</v>
      </c>
      <c r="B121" s="30" t="inlineStr">
        <is>
          <t>Columbia</t>
        </is>
      </c>
      <c r="C121" s="31" t="n">
        <v>3786</v>
      </c>
      <c r="D121" s="50">
        <f>C121/C$8</f>
        <v/>
      </c>
      <c r="E121" s="31">
        <f>$D121*E$7*$H$3</f>
        <v/>
      </c>
      <c r="F121" s="31">
        <f>C121*F$7</f>
        <v/>
      </c>
      <c r="G121" s="31">
        <f>$D121*G$7*$H$3</f>
        <v/>
      </c>
      <c r="H121" s="31">
        <f>C121*H$7</f>
        <v/>
      </c>
      <c r="I121" s="31">
        <f>$D121*I$7*$H$3</f>
        <v/>
      </c>
      <c r="J121" s="31">
        <f>C121*J$7</f>
        <v/>
      </c>
      <c r="K121" s="41">
        <f>E121+G121+I121</f>
        <v/>
      </c>
      <c r="L121" s="30" t="inlineStr">
        <is>
          <t>Yosemite Community College District</t>
        </is>
      </c>
      <c r="M121" s="30" t="inlineStr">
        <is>
          <t>Tuolumne</t>
        </is>
      </c>
      <c r="N121" s="37" t="inlineStr">
        <is>
          <t>N/A*</t>
        </is>
      </c>
      <c r="O121" s="35">
        <f>N121/N$8</f>
        <v/>
      </c>
      <c r="P121" s="51" t="n"/>
    </row>
    <row r="122" ht="15" customHeight="1">
      <c r="A122" s="29" t="n">
        <v>68</v>
      </c>
      <c r="B122" s="30" t="inlineStr">
        <is>
          <t>Moorpark</t>
        </is>
      </c>
      <c r="C122" s="31" t="n">
        <v>19597</v>
      </c>
      <c r="D122" s="50">
        <f>C122/C$8</f>
        <v/>
      </c>
      <c r="E122" s="31">
        <f>$D122*E$7*$H$3</f>
        <v/>
      </c>
      <c r="F122" s="31">
        <f>C122*F$7</f>
        <v/>
      </c>
      <c r="G122" s="31">
        <f>$D122*G$7*$H$3</f>
        <v/>
      </c>
      <c r="H122" s="31">
        <f>C122*H$7</f>
        <v/>
      </c>
      <c r="I122" s="31">
        <f>$D122*I$7*$H$3</f>
        <v/>
      </c>
      <c r="J122" s="31">
        <f>C122*J$7</f>
        <v/>
      </c>
      <c r="K122" s="41">
        <f>E122+G122+I122</f>
        <v/>
      </c>
      <c r="L122" s="30" t="inlineStr">
        <is>
          <t>Ventura County Community College District</t>
        </is>
      </c>
      <c r="M122" s="30" t="inlineStr">
        <is>
          <t>Ventura</t>
        </is>
      </c>
      <c r="N122" s="34" t="n">
        <v>111435</v>
      </c>
      <c r="O122" s="35">
        <f>N122/N$8</f>
        <v/>
      </c>
      <c r="P122" s="51" t="n"/>
    </row>
    <row r="123" ht="15" customHeight="1">
      <c r="A123" s="29" t="n">
        <v>77</v>
      </c>
      <c r="B123" s="30" t="inlineStr">
        <is>
          <t>Oxnard</t>
        </is>
      </c>
      <c r="C123" s="31" t="n">
        <v>10620</v>
      </c>
      <c r="D123" s="50">
        <f>C123/C$8</f>
        <v/>
      </c>
      <c r="E123" s="31">
        <f>$D123*E$7*$H$3</f>
        <v/>
      </c>
      <c r="F123" s="31">
        <f>C123*F$7</f>
        <v/>
      </c>
      <c r="G123" s="31">
        <f>$D123*G$7*$H$3</f>
        <v/>
      </c>
      <c r="H123" s="31">
        <f>C123*H$7</f>
        <v/>
      </c>
      <c r="I123" s="31">
        <f>$D123*I$7*$H$3</f>
        <v/>
      </c>
      <c r="J123" s="31">
        <f>C123*J$7</f>
        <v/>
      </c>
      <c r="K123" s="41">
        <f>E123+G123+I123</f>
        <v/>
      </c>
      <c r="L123" s="30" t="inlineStr">
        <is>
          <t>Ventura County Community College District</t>
        </is>
      </c>
      <c r="M123" s="30" t="inlineStr">
        <is>
          <t>Ventura</t>
        </is>
      </c>
      <c r="N123" s="34" t="n">
        <v>111435</v>
      </c>
      <c r="O123" s="35">
        <f>N123/N$8</f>
        <v/>
      </c>
      <c r="P123" s="51" t="n"/>
    </row>
    <row r="124" ht="15" customHeight="1">
      <c r="A124" s="29" t="n">
        <v>110</v>
      </c>
      <c r="B124" s="30" t="inlineStr">
        <is>
          <t>Ventura</t>
        </is>
      </c>
      <c r="C124" s="31" t="n">
        <v>16543</v>
      </c>
      <c r="D124" s="50">
        <f>C124/C$8</f>
        <v/>
      </c>
      <c r="E124" s="31">
        <f>$D124*E$7*$H$3</f>
        <v/>
      </c>
      <c r="F124" s="31">
        <f>C124*F$7</f>
        <v/>
      </c>
      <c r="G124" s="31">
        <f>$D124*G$7*$H$3</f>
        <v/>
      </c>
      <c r="H124" s="31">
        <f>C124*H$7</f>
        <v/>
      </c>
      <c r="I124" s="31">
        <f>$D124*I$7*$H$3</f>
        <v/>
      </c>
      <c r="J124" s="31">
        <f>C124*J$7</f>
        <v/>
      </c>
      <c r="K124" s="41">
        <f>E124+G124+I124</f>
        <v/>
      </c>
      <c r="L124" s="30" t="inlineStr">
        <is>
          <t>Ventura County Community College District</t>
        </is>
      </c>
      <c r="M124" s="30" t="inlineStr">
        <is>
          <t>Ventura</t>
        </is>
      </c>
      <c r="N124" s="34" t="n">
        <v>111435</v>
      </c>
      <c r="O124" s="35">
        <f>N124/N$8</f>
        <v/>
      </c>
      <c r="P124" s="51" t="n"/>
    </row>
    <row r="125" ht="15" customHeight="1">
      <c r="A125" s="29" t="n">
        <v>116</v>
      </c>
      <c r="B125" s="30" t="inlineStr">
        <is>
          <t>Woodland</t>
        </is>
      </c>
      <c r="C125" s="31" t="n">
        <v>6011</v>
      </c>
      <c r="D125" s="50">
        <f>C125/C$8</f>
        <v/>
      </c>
      <c r="E125" s="31">
        <f>$D125*E$7*$H$3</f>
        <v/>
      </c>
      <c r="F125" s="31">
        <f>C125*F$7</f>
        <v/>
      </c>
      <c r="G125" s="31">
        <f>$D125*G$7*$H$3</f>
        <v/>
      </c>
      <c r="H125" s="31">
        <f>C125*H$7</f>
        <v/>
      </c>
      <c r="I125" s="31">
        <f>$D125*I$7*$H$3</f>
        <v/>
      </c>
      <c r="J125" s="31">
        <f>C125*J$7</f>
        <v/>
      </c>
      <c r="K125" s="41">
        <f>E125+G125+I125</f>
        <v/>
      </c>
      <c r="L125" s="30" t="inlineStr">
        <is>
          <t>Yuba Community College District</t>
        </is>
      </c>
      <c r="M125" s="30" t="inlineStr">
        <is>
          <t>Yolo</t>
        </is>
      </c>
      <c r="N125" s="34" t="n">
        <v>25523</v>
      </c>
      <c r="O125" s="35">
        <f>N125/N$8</f>
        <v/>
      </c>
      <c r="P125" s="51" t="n"/>
    </row>
    <row r="126" ht="15" customHeight="1">
      <c r="A126" s="29" t="n">
        <v>117</v>
      </c>
      <c r="B126" s="30" t="inlineStr">
        <is>
          <t>Yuba</t>
        </is>
      </c>
      <c r="C126" s="31" t="n">
        <v>8417</v>
      </c>
      <c r="D126" s="50">
        <f>C126/C$8</f>
        <v/>
      </c>
      <c r="E126" s="31">
        <f>$D126*E$7*$H$3</f>
        <v/>
      </c>
      <c r="F126" s="31">
        <f>C126*F$7</f>
        <v/>
      </c>
      <c r="G126" s="31">
        <f>$D126*G$7*$H$3</f>
        <v/>
      </c>
      <c r="H126" s="31">
        <f>C126*H$7</f>
        <v/>
      </c>
      <c r="I126" s="31">
        <f>$D126*I$7*$H$3</f>
        <v/>
      </c>
      <c r="J126" s="31">
        <f>C126*J$7</f>
        <v/>
      </c>
      <c r="K126" s="41">
        <f>E126+G126+I126</f>
        <v/>
      </c>
      <c r="L126" s="30" t="inlineStr">
        <is>
          <t>Yuba Community College District</t>
        </is>
      </c>
      <c r="M126" s="30" t="inlineStr">
        <is>
          <t>Yuba</t>
        </is>
      </c>
      <c r="N126" s="34" t="n">
        <v>14117</v>
      </c>
      <c r="O126" s="35">
        <f>N126/N$8</f>
        <v/>
      </c>
      <c r="P126" s="51" t="n"/>
    </row>
    <row r="127" ht="15" customHeight="1">
      <c r="I127" s="41" t="inlineStr">
        <is>
          <t>AVERAGE ALLOCATION</t>
        </is>
      </c>
      <c r="J127" s="45" t="n"/>
      <c r="K127" s="41">
        <f>AVERAGE(K9:K126)</f>
        <v/>
      </c>
    </row>
    <row r="128">
      <c r="B128" s="10" t="inlineStr">
        <is>
          <t>*Survey did not estimate counties &lt;65K in population</t>
        </is>
      </c>
    </row>
    <row r="129">
      <c r="B129" s="8" t="inlineStr">
        <is>
          <t>Source: U.S. Census 2022 American Community Survey: https://data.census.gov/table/ACSDT1Y2022.B16010?q=Educational%20Attainment%20by%20employment%20status%20and%20state&amp;g=040XX00US06,06$0500000&amp;y=2022&amp;moe=false</t>
        </is>
      </c>
    </row>
  </sheetData>
  <mergeCells count="14">
    <mergeCell ref="M5:M7"/>
    <mergeCell ref="N5:N7"/>
    <mergeCell ref="D5:D7"/>
    <mergeCell ref="I127:J127"/>
    <mergeCell ref="G5:H5"/>
    <mergeCell ref="E5:F5"/>
    <mergeCell ref="I5:J5"/>
    <mergeCell ref="A5:A7"/>
    <mergeCell ref="P5:P7"/>
    <mergeCell ref="C5:C7"/>
    <mergeCell ref="K5:K7"/>
    <mergeCell ref="L5:L7"/>
    <mergeCell ref="O5:O7"/>
    <mergeCell ref="B5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Lee, Samuel</dc:creator>
  <dcterms:created xsi:type="dcterms:W3CDTF">2026-06-11T14:44:18Z</dcterms:created>
  <dcterms:modified xsi:type="dcterms:W3CDTF">2026-06-11T17:43:55Z</dcterms:modified>
  <cp:lastModifiedBy>Lee, Samuel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0x010100009F3F3145572F4EB026CCEAA7B63C59</vt:lpwstr>
  </property>
</Properties>
</file>