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udentrcc.sharepoint.com/sites/MilitaryArticulationPlatform/Shared Documents/CCCCO/Governors Budget/"/>
    </mc:Choice>
  </mc:AlternateContent>
  <xr:revisionPtr revIDLastSave="0" documentId="8_{F199CC11-13D4-49E0-B9A2-94BE42223BD1}" xr6:coauthVersionLast="47" xr6:coauthVersionMax="47" xr10:uidLastSave="{00000000-0000-0000-0000-000000000000}"/>
  <bookViews>
    <workbookView xWindow="-120" yWindow="-120" windowWidth="29040" windowHeight="17520" xr2:uid="{53FCC33B-23B4-4F1D-858F-F4FB374EEA7C}"/>
  </bookViews>
  <sheets>
    <sheet name="CPL IMPLEMENTATION MODEL 2026" sheetId="1" r:id="rId1"/>
  </sheets>
  <externalReferences>
    <externalReference r:id="rId2"/>
  </externalReferences>
  <definedNames>
    <definedName name="Comparison_Tool_Data_Full">#REF!</definedName>
    <definedName name="Section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I3" i="1"/>
  <c r="H3" i="1"/>
  <c r="C3" i="1"/>
  <c r="O126" i="1"/>
  <c r="J126" i="1"/>
  <c r="H126" i="1"/>
  <c r="F126" i="1"/>
  <c r="O125" i="1"/>
  <c r="J125" i="1"/>
  <c r="H125" i="1"/>
  <c r="F125" i="1"/>
  <c r="O124" i="1"/>
  <c r="J124" i="1"/>
  <c r="H124" i="1"/>
  <c r="F124" i="1"/>
  <c r="O123" i="1"/>
  <c r="J123" i="1"/>
  <c r="H123" i="1"/>
  <c r="F123" i="1"/>
  <c r="O122" i="1"/>
  <c r="J122" i="1"/>
  <c r="H122" i="1"/>
  <c r="F122" i="1"/>
  <c r="J121" i="1"/>
  <c r="H121" i="1"/>
  <c r="F121" i="1"/>
  <c r="O120" i="1"/>
  <c r="J120" i="1"/>
  <c r="H120" i="1"/>
  <c r="F120" i="1"/>
  <c r="O119" i="1"/>
  <c r="J119" i="1"/>
  <c r="H119" i="1"/>
  <c r="F119" i="1"/>
  <c r="O118" i="1"/>
  <c r="J118" i="1"/>
  <c r="H118" i="1"/>
  <c r="F118" i="1"/>
  <c r="O117" i="1"/>
  <c r="J117" i="1"/>
  <c r="H117" i="1"/>
  <c r="F117" i="1"/>
  <c r="O116" i="1"/>
  <c r="J116" i="1"/>
  <c r="H116" i="1"/>
  <c r="F116" i="1"/>
  <c r="O115" i="1"/>
  <c r="J115" i="1"/>
  <c r="H115" i="1"/>
  <c r="F115" i="1"/>
  <c r="J114" i="1"/>
  <c r="H114" i="1"/>
  <c r="F114" i="1"/>
  <c r="O113" i="1"/>
  <c r="J113" i="1"/>
  <c r="H113" i="1"/>
  <c r="F113" i="1"/>
  <c r="O112" i="1"/>
  <c r="J112" i="1"/>
  <c r="H112" i="1"/>
  <c r="F112" i="1"/>
  <c r="O111" i="1"/>
  <c r="J111" i="1"/>
  <c r="H111" i="1"/>
  <c r="F111" i="1"/>
  <c r="O110" i="1"/>
  <c r="J110" i="1"/>
  <c r="H110" i="1"/>
  <c r="F110" i="1"/>
  <c r="O109" i="1"/>
  <c r="J109" i="1"/>
  <c r="H109" i="1"/>
  <c r="F109" i="1"/>
  <c r="O108" i="1"/>
  <c r="J108" i="1"/>
  <c r="H108" i="1"/>
  <c r="F108" i="1"/>
  <c r="O107" i="1"/>
  <c r="J107" i="1"/>
  <c r="H107" i="1"/>
  <c r="F107" i="1"/>
  <c r="O106" i="1"/>
  <c r="J106" i="1"/>
  <c r="H106" i="1"/>
  <c r="F106" i="1"/>
  <c r="O105" i="1"/>
  <c r="J105" i="1"/>
  <c r="H105" i="1"/>
  <c r="F105" i="1"/>
  <c r="O104" i="1"/>
  <c r="J104" i="1"/>
  <c r="H104" i="1"/>
  <c r="F104" i="1"/>
  <c r="O103" i="1"/>
  <c r="J103" i="1"/>
  <c r="H103" i="1"/>
  <c r="F103" i="1"/>
  <c r="O102" i="1"/>
  <c r="J102" i="1"/>
  <c r="H102" i="1"/>
  <c r="F102" i="1"/>
  <c r="O101" i="1"/>
  <c r="J101" i="1"/>
  <c r="H101" i="1"/>
  <c r="F101" i="1"/>
  <c r="O100" i="1"/>
  <c r="J100" i="1"/>
  <c r="H100" i="1"/>
  <c r="F100" i="1"/>
  <c r="O99" i="1"/>
  <c r="J99" i="1"/>
  <c r="H99" i="1"/>
  <c r="F99" i="1"/>
  <c r="O98" i="1"/>
  <c r="J98" i="1"/>
  <c r="H98" i="1"/>
  <c r="F98" i="1"/>
  <c r="O97" i="1"/>
  <c r="J97" i="1"/>
  <c r="H97" i="1"/>
  <c r="F97" i="1"/>
  <c r="O96" i="1"/>
  <c r="J96" i="1"/>
  <c r="H96" i="1"/>
  <c r="F96" i="1"/>
  <c r="O95" i="1"/>
  <c r="J95" i="1"/>
  <c r="H95" i="1"/>
  <c r="F95" i="1"/>
  <c r="O94" i="1"/>
  <c r="J94" i="1"/>
  <c r="H94" i="1"/>
  <c r="F94" i="1"/>
  <c r="O93" i="1"/>
  <c r="J93" i="1"/>
  <c r="H93" i="1"/>
  <c r="F93" i="1"/>
  <c r="O92" i="1"/>
  <c r="J92" i="1"/>
  <c r="H92" i="1"/>
  <c r="F92" i="1"/>
  <c r="O91" i="1"/>
  <c r="J91" i="1"/>
  <c r="H91" i="1"/>
  <c r="F91" i="1"/>
  <c r="O90" i="1"/>
  <c r="J90" i="1"/>
  <c r="H90" i="1"/>
  <c r="F90" i="1"/>
  <c r="O89" i="1"/>
  <c r="J89" i="1"/>
  <c r="H89" i="1"/>
  <c r="F89" i="1"/>
  <c r="O88" i="1"/>
  <c r="J88" i="1"/>
  <c r="H88" i="1"/>
  <c r="F88" i="1"/>
  <c r="O87" i="1"/>
  <c r="J87" i="1"/>
  <c r="H87" i="1"/>
  <c r="F87" i="1"/>
  <c r="O86" i="1"/>
  <c r="J86" i="1"/>
  <c r="H86" i="1"/>
  <c r="F86" i="1"/>
  <c r="O85" i="1"/>
  <c r="J85" i="1"/>
  <c r="H85" i="1"/>
  <c r="F85" i="1"/>
  <c r="O84" i="1"/>
  <c r="J84" i="1"/>
  <c r="H84" i="1"/>
  <c r="F84" i="1"/>
  <c r="O83" i="1"/>
  <c r="J83" i="1"/>
  <c r="H83" i="1"/>
  <c r="F83" i="1"/>
  <c r="O82" i="1"/>
  <c r="J82" i="1"/>
  <c r="H82" i="1"/>
  <c r="F82" i="1"/>
  <c r="O81" i="1"/>
  <c r="J81" i="1"/>
  <c r="H81" i="1"/>
  <c r="F81" i="1"/>
  <c r="O80" i="1"/>
  <c r="J80" i="1"/>
  <c r="H80" i="1"/>
  <c r="F80" i="1"/>
  <c r="O79" i="1"/>
  <c r="J79" i="1"/>
  <c r="H79" i="1"/>
  <c r="F79" i="1"/>
  <c r="O78" i="1"/>
  <c r="J78" i="1"/>
  <c r="H78" i="1"/>
  <c r="F78" i="1"/>
  <c r="O77" i="1"/>
  <c r="J77" i="1"/>
  <c r="H77" i="1"/>
  <c r="F77" i="1"/>
  <c r="O76" i="1"/>
  <c r="J76" i="1"/>
  <c r="H76" i="1"/>
  <c r="F76" i="1"/>
  <c r="O75" i="1"/>
  <c r="J75" i="1"/>
  <c r="H75" i="1"/>
  <c r="F75" i="1"/>
  <c r="O74" i="1"/>
  <c r="J74" i="1"/>
  <c r="H74" i="1"/>
  <c r="F74" i="1"/>
  <c r="O73" i="1"/>
  <c r="J73" i="1"/>
  <c r="H73" i="1"/>
  <c r="F73" i="1"/>
  <c r="O72" i="1"/>
  <c r="J72" i="1"/>
  <c r="H72" i="1"/>
  <c r="F72" i="1"/>
  <c r="J71" i="1"/>
  <c r="H71" i="1"/>
  <c r="F71" i="1"/>
  <c r="O70" i="1"/>
  <c r="J70" i="1"/>
  <c r="H70" i="1"/>
  <c r="F70" i="1"/>
  <c r="O69" i="1"/>
  <c r="J69" i="1"/>
  <c r="H69" i="1"/>
  <c r="F69" i="1"/>
  <c r="O68" i="1"/>
  <c r="J68" i="1"/>
  <c r="H68" i="1"/>
  <c r="F68" i="1"/>
  <c r="O67" i="1"/>
  <c r="J67" i="1"/>
  <c r="H67" i="1"/>
  <c r="F67" i="1"/>
  <c r="O66" i="1"/>
  <c r="J66" i="1"/>
  <c r="H66" i="1"/>
  <c r="F66" i="1"/>
  <c r="O65" i="1"/>
  <c r="J65" i="1"/>
  <c r="H65" i="1"/>
  <c r="F65" i="1"/>
  <c r="O64" i="1"/>
  <c r="J64" i="1"/>
  <c r="H64" i="1"/>
  <c r="F64" i="1"/>
  <c r="O63" i="1"/>
  <c r="J63" i="1"/>
  <c r="H63" i="1"/>
  <c r="F63" i="1"/>
  <c r="O62" i="1"/>
  <c r="J62" i="1"/>
  <c r="H62" i="1"/>
  <c r="F62" i="1"/>
  <c r="O61" i="1"/>
  <c r="J61" i="1"/>
  <c r="H61" i="1"/>
  <c r="F61" i="1"/>
  <c r="O60" i="1"/>
  <c r="J60" i="1"/>
  <c r="H60" i="1"/>
  <c r="F60" i="1"/>
  <c r="O59" i="1"/>
  <c r="J59" i="1"/>
  <c r="H59" i="1"/>
  <c r="F59" i="1"/>
  <c r="O58" i="1"/>
  <c r="J58" i="1"/>
  <c r="H58" i="1"/>
  <c r="F58" i="1"/>
  <c r="O57" i="1"/>
  <c r="J57" i="1"/>
  <c r="H57" i="1"/>
  <c r="F57" i="1"/>
  <c r="O56" i="1"/>
  <c r="J56" i="1"/>
  <c r="H56" i="1"/>
  <c r="F56" i="1"/>
  <c r="O55" i="1"/>
  <c r="J55" i="1"/>
  <c r="H55" i="1"/>
  <c r="F55" i="1"/>
  <c r="O54" i="1"/>
  <c r="J54" i="1"/>
  <c r="H54" i="1"/>
  <c r="F54" i="1"/>
  <c r="O53" i="1"/>
  <c r="J53" i="1"/>
  <c r="H53" i="1"/>
  <c r="F53" i="1"/>
  <c r="O52" i="1"/>
  <c r="J52" i="1"/>
  <c r="H52" i="1"/>
  <c r="F52" i="1"/>
  <c r="O51" i="1"/>
  <c r="J51" i="1"/>
  <c r="H51" i="1"/>
  <c r="F51" i="1"/>
  <c r="O50" i="1"/>
  <c r="J50" i="1"/>
  <c r="H50" i="1"/>
  <c r="F50" i="1"/>
  <c r="O49" i="1"/>
  <c r="J49" i="1"/>
  <c r="H49" i="1"/>
  <c r="F49" i="1"/>
  <c r="O48" i="1"/>
  <c r="J48" i="1"/>
  <c r="H48" i="1"/>
  <c r="F48" i="1"/>
  <c r="O47" i="1"/>
  <c r="J47" i="1"/>
  <c r="H47" i="1"/>
  <c r="F47" i="1"/>
  <c r="O46" i="1"/>
  <c r="J46" i="1"/>
  <c r="H46" i="1"/>
  <c r="F46" i="1"/>
  <c r="O45" i="1"/>
  <c r="J45" i="1"/>
  <c r="H45" i="1"/>
  <c r="F45" i="1"/>
  <c r="O44" i="1"/>
  <c r="J44" i="1"/>
  <c r="H44" i="1"/>
  <c r="F44" i="1"/>
  <c r="O43" i="1"/>
  <c r="J43" i="1"/>
  <c r="H43" i="1"/>
  <c r="F43" i="1"/>
  <c r="O42" i="1"/>
  <c r="J42" i="1"/>
  <c r="H42" i="1"/>
  <c r="F42" i="1"/>
  <c r="O41" i="1"/>
  <c r="J41" i="1"/>
  <c r="H41" i="1"/>
  <c r="F41" i="1"/>
  <c r="O40" i="1"/>
  <c r="J40" i="1"/>
  <c r="H40" i="1"/>
  <c r="F40" i="1"/>
  <c r="O39" i="1"/>
  <c r="J39" i="1"/>
  <c r="H39" i="1"/>
  <c r="F39" i="1"/>
  <c r="O38" i="1"/>
  <c r="J38" i="1"/>
  <c r="H38" i="1"/>
  <c r="F38" i="1"/>
  <c r="O37" i="1"/>
  <c r="J37" i="1"/>
  <c r="H37" i="1"/>
  <c r="F37" i="1"/>
  <c r="O36" i="1"/>
  <c r="J36" i="1"/>
  <c r="H36" i="1"/>
  <c r="F36" i="1"/>
  <c r="O35" i="1"/>
  <c r="J35" i="1"/>
  <c r="H35" i="1"/>
  <c r="F35" i="1"/>
  <c r="O34" i="1"/>
  <c r="J34" i="1"/>
  <c r="H34" i="1"/>
  <c r="F34" i="1"/>
  <c r="O33" i="1"/>
  <c r="J33" i="1"/>
  <c r="H33" i="1"/>
  <c r="F33" i="1"/>
  <c r="O32" i="1"/>
  <c r="J32" i="1"/>
  <c r="H32" i="1"/>
  <c r="F32" i="1"/>
  <c r="J31" i="1"/>
  <c r="H31" i="1"/>
  <c r="F31" i="1"/>
  <c r="O30" i="1"/>
  <c r="J30" i="1"/>
  <c r="H30" i="1"/>
  <c r="F30" i="1"/>
  <c r="O29" i="1"/>
  <c r="J29" i="1"/>
  <c r="H29" i="1"/>
  <c r="F29" i="1"/>
  <c r="O28" i="1"/>
  <c r="J28" i="1"/>
  <c r="H28" i="1"/>
  <c r="F28" i="1"/>
  <c r="O27" i="1"/>
  <c r="J27" i="1"/>
  <c r="H27" i="1"/>
  <c r="F27" i="1"/>
  <c r="O26" i="1"/>
  <c r="J26" i="1"/>
  <c r="H26" i="1"/>
  <c r="F26" i="1"/>
  <c r="O25" i="1"/>
  <c r="J25" i="1"/>
  <c r="H25" i="1"/>
  <c r="F25" i="1"/>
  <c r="O24" i="1"/>
  <c r="J24" i="1"/>
  <c r="H24" i="1"/>
  <c r="F24" i="1"/>
  <c r="O23" i="1"/>
  <c r="J23" i="1"/>
  <c r="H23" i="1"/>
  <c r="F23" i="1"/>
  <c r="O22" i="1"/>
  <c r="J22" i="1"/>
  <c r="H22" i="1"/>
  <c r="F22" i="1"/>
  <c r="O21" i="1"/>
  <c r="J21" i="1"/>
  <c r="H21" i="1"/>
  <c r="F21" i="1"/>
  <c r="O20" i="1"/>
  <c r="J20" i="1"/>
  <c r="H20" i="1"/>
  <c r="F20" i="1"/>
  <c r="O19" i="1"/>
  <c r="J19" i="1"/>
  <c r="H19" i="1"/>
  <c r="F19" i="1"/>
  <c r="O18" i="1"/>
  <c r="J18" i="1"/>
  <c r="H18" i="1"/>
  <c r="F18" i="1"/>
  <c r="O17" i="1"/>
  <c r="J17" i="1"/>
  <c r="H17" i="1"/>
  <c r="F17" i="1"/>
  <c r="O16" i="1"/>
  <c r="J16" i="1"/>
  <c r="H16" i="1"/>
  <c r="F16" i="1"/>
  <c r="O15" i="1"/>
  <c r="J15" i="1"/>
  <c r="H15" i="1"/>
  <c r="F15" i="1"/>
  <c r="O14" i="1"/>
  <c r="J14" i="1"/>
  <c r="H14" i="1"/>
  <c r="F14" i="1"/>
  <c r="O13" i="1"/>
  <c r="J13" i="1"/>
  <c r="H13" i="1"/>
  <c r="F13" i="1"/>
  <c r="O12" i="1"/>
  <c r="J12" i="1"/>
  <c r="H12" i="1"/>
  <c r="F12" i="1"/>
  <c r="O11" i="1"/>
  <c r="J11" i="1"/>
  <c r="H11" i="1"/>
  <c r="F11" i="1"/>
  <c r="O10" i="1"/>
  <c r="J10" i="1"/>
  <c r="H10" i="1"/>
  <c r="F10" i="1"/>
  <c r="O9" i="1"/>
  <c r="J9" i="1"/>
  <c r="H9" i="1"/>
  <c r="F9" i="1"/>
  <c r="P8" i="1"/>
  <c r="O8" i="1"/>
  <c r="F8" i="1"/>
  <c r="C8" i="1"/>
  <c r="D9" i="1" s="1"/>
  <c r="E3" i="1"/>
  <c r="L3" i="1" l="1"/>
  <c r="I11" i="1" s="1"/>
  <c r="H8" i="1"/>
  <c r="J8" i="1"/>
  <c r="K3" i="1"/>
  <c r="G8" i="1" l="1"/>
  <c r="I116" i="1"/>
  <c r="E125" i="1"/>
  <c r="G40" i="1"/>
  <c r="I118" i="1"/>
  <c r="E116" i="1"/>
  <c r="G60" i="1"/>
  <c r="E24" i="1"/>
  <c r="G99" i="1"/>
  <c r="I29" i="1"/>
  <c r="G59" i="1"/>
  <c r="I117" i="1"/>
  <c r="I115" i="1"/>
  <c r="G53" i="1"/>
  <c r="G70" i="1"/>
  <c r="G109" i="1"/>
  <c r="G44" i="1"/>
  <c r="G51" i="1"/>
  <c r="G62" i="1"/>
  <c r="I22" i="1"/>
  <c r="G58" i="1"/>
  <c r="E22" i="1"/>
  <c r="G88" i="1"/>
  <c r="G76" i="1"/>
  <c r="G42" i="1"/>
  <c r="I120" i="1"/>
  <c r="G81" i="1"/>
  <c r="E98" i="1"/>
  <c r="G119" i="1"/>
  <c r="G125" i="1"/>
  <c r="G122" i="1"/>
  <c r="I114" i="1"/>
  <c r="E113" i="1"/>
  <c r="I111" i="1"/>
  <c r="I108" i="1"/>
  <c r="I102" i="1"/>
  <c r="I96" i="1"/>
  <c r="I93" i="1"/>
  <c r="I90" i="1"/>
  <c r="E89" i="1"/>
  <c r="E86" i="1"/>
  <c r="I84" i="1"/>
  <c r="E83" i="1"/>
  <c r="I81" i="1"/>
  <c r="E80" i="1"/>
  <c r="I78" i="1"/>
  <c r="E77" i="1"/>
  <c r="I75" i="1"/>
  <c r="E74" i="1"/>
  <c r="I72" i="1"/>
  <c r="G24" i="1"/>
  <c r="E92" i="1"/>
  <c r="G18" i="1"/>
  <c r="I34" i="1"/>
  <c r="I99" i="1"/>
  <c r="G120" i="1"/>
  <c r="G117" i="1"/>
  <c r="I70" i="1"/>
  <c r="E69" i="1"/>
  <c r="I67" i="1"/>
  <c r="E66" i="1"/>
  <c r="I64" i="1"/>
  <c r="E63" i="1"/>
  <c r="I61" i="1"/>
  <c r="E60" i="1"/>
  <c r="I58" i="1"/>
  <c r="E57" i="1"/>
  <c r="I55" i="1"/>
  <c r="E54" i="1"/>
  <c r="I52" i="1"/>
  <c r="E51" i="1"/>
  <c r="I49" i="1"/>
  <c r="E48" i="1"/>
  <c r="I46" i="1"/>
  <c r="E45" i="1"/>
  <c r="I43" i="1"/>
  <c r="E42" i="1"/>
  <c r="I40" i="1"/>
  <c r="E39" i="1"/>
  <c r="I37" i="1"/>
  <c r="E36" i="1"/>
  <c r="E33" i="1"/>
  <c r="E107" i="1"/>
  <c r="G123" i="1"/>
  <c r="E114" i="1"/>
  <c r="I112" i="1"/>
  <c r="E111" i="1"/>
  <c r="I109" i="1"/>
  <c r="E108" i="1"/>
  <c r="I106" i="1"/>
  <c r="E105" i="1"/>
  <c r="I103" i="1"/>
  <c r="E102" i="1"/>
  <c r="I100" i="1"/>
  <c r="E99" i="1"/>
  <c r="I97" i="1"/>
  <c r="E96" i="1"/>
  <c r="I94" i="1"/>
  <c r="E93" i="1"/>
  <c r="I91" i="1"/>
  <c r="E90" i="1"/>
  <c r="I88" i="1"/>
  <c r="E87" i="1"/>
  <c r="I85" i="1"/>
  <c r="E84" i="1"/>
  <c r="I82" i="1"/>
  <c r="E81" i="1"/>
  <c r="I79" i="1"/>
  <c r="E78" i="1"/>
  <c r="I76" i="1"/>
  <c r="E75" i="1"/>
  <c r="I73" i="1"/>
  <c r="G31" i="1"/>
  <c r="G28" i="1"/>
  <c r="G25" i="1"/>
  <c r="G22" i="1"/>
  <c r="G19" i="1"/>
  <c r="G16" i="1"/>
  <c r="G13" i="1"/>
  <c r="G10" i="1"/>
  <c r="E101" i="1"/>
  <c r="G30" i="1"/>
  <c r="G27" i="1"/>
  <c r="G21" i="1"/>
  <c r="G15" i="1"/>
  <c r="G9" i="1"/>
  <c r="E124" i="1"/>
  <c r="G107" i="1"/>
  <c r="G89" i="1"/>
  <c r="G80" i="1"/>
  <c r="I30" i="1"/>
  <c r="I24" i="1"/>
  <c r="E17" i="1"/>
  <c r="I9" i="1"/>
  <c r="E71" i="1"/>
  <c r="I66" i="1"/>
  <c r="I60" i="1"/>
  <c r="I54" i="1"/>
  <c r="I48" i="1"/>
  <c r="E41" i="1"/>
  <c r="E32" i="1"/>
  <c r="E110" i="1"/>
  <c r="I125" i="1"/>
  <c r="G98" i="1"/>
  <c r="G92" i="1"/>
  <c r="G86" i="1"/>
  <c r="G83" i="1"/>
  <c r="E26" i="1"/>
  <c r="I21" i="1"/>
  <c r="I15" i="1"/>
  <c r="I12" i="1"/>
  <c r="I63" i="1"/>
  <c r="E56" i="1"/>
  <c r="E47" i="1"/>
  <c r="E38" i="1"/>
  <c r="I87" i="1"/>
  <c r="G12" i="1"/>
  <c r="G121" i="1"/>
  <c r="G118" i="1"/>
  <c r="G115" i="1"/>
  <c r="I71" i="1"/>
  <c r="E70" i="1"/>
  <c r="I68" i="1"/>
  <c r="E67" i="1"/>
  <c r="I65" i="1"/>
  <c r="E64" i="1"/>
  <c r="I62" i="1"/>
  <c r="E61" i="1"/>
  <c r="I59" i="1"/>
  <c r="E58" i="1"/>
  <c r="I56" i="1"/>
  <c r="E55" i="1"/>
  <c r="I53" i="1"/>
  <c r="E52" i="1"/>
  <c r="I50" i="1"/>
  <c r="E49" i="1"/>
  <c r="I47" i="1"/>
  <c r="E46" i="1"/>
  <c r="I44" i="1"/>
  <c r="E43" i="1"/>
  <c r="K43" i="1" s="1"/>
  <c r="I41" i="1"/>
  <c r="E40" i="1"/>
  <c r="I38" i="1"/>
  <c r="E37" i="1"/>
  <c r="I35" i="1"/>
  <c r="E34" i="1"/>
  <c r="I32" i="1"/>
  <c r="G104" i="1"/>
  <c r="G74" i="1"/>
  <c r="E29" i="1"/>
  <c r="I18" i="1"/>
  <c r="I69" i="1"/>
  <c r="E62" i="1"/>
  <c r="E53" i="1"/>
  <c r="I45" i="1"/>
  <c r="I39" i="1"/>
  <c r="E104" i="1"/>
  <c r="E8" i="1"/>
  <c r="G124" i="1"/>
  <c r="I113" i="1"/>
  <c r="E112" i="1"/>
  <c r="I110" i="1"/>
  <c r="E109" i="1"/>
  <c r="I107" i="1"/>
  <c r="E106" i="1"/>
  <c r="I104" i="1"/>
  <c r="E103" i="1"/>
  <c r="I101" i="1"/>
  <c r="E100" i="1"/>
  <c r="I98" i="1"/>
  <c r="E97" i="1"/>
  <c r="I95" i="1"/>
  <c r="E94" i="1"/>
  <c r="I92" i="1"/>
  <c r="E91" i="1"/>
  <c r="I89" i="1"/>
  <c r="E88" i="1"/>
  <c r="I86" i="1"/>
  <c r="E85" i="1"/>
  <c r="I83" i="1"/>
  <c r="E82" i="1"/>
  <c r="I80" i="1"/>
  <c r="E79" i="1"/>
  <c r="I77" i="1"/>
  <c r="E76" i="1"/>
  <c r="I74" i="1"/>
  <c r="E73" i="1"/>
  <c r="G29" i="1"/>
  <c r="G26" i="1"/>
  <c r="G23" i="1"/>
  <c r="G20" i="1"/>
  <c r="G17" i="1"/>
  <c r="G14" i="1"/>
  <c r="G11" i="1"/>
  <c r="I122" i="1"/>
  <c r="G110" i="1"/>
  <c r="G101" i="1"/>
  <c r="G77" i="1"/>
  <c r="I27" i="1"/>
  <c r="E20" i="1"/>
  <c r="E14" i="1"/>
  <c r="G116" i="1"/>
  <c r="E68" i="1"/>
  <c r="E59" i="1"/>
  <c r="I51" i="1"/>
  <c r="E44" i="1"/>
  <c r="I36" i="1"/>
  <c r="I33" i="1"/>
  <c r="I105" i="1"/>
  <c r="G113" i="1"/>
  <c r="G95" i="1"/>
  <c r="E23" i="1"/>
  <c r="E11" i="1"/>
  <c r="E65" i="1"/>
  <c r="I57" i="1"/>
  <c r="E50" i="1"/>
  <c r="I42" i="1"/>
  <c r="E35" i="1"/>
  <c r="E95" i="1"/>
  <c r="G57" i="1"/>
  <c r="I26" i="1"/>
  <c r="G55" i="1"/>
  <c r="G82" i="1"/>
  <c r="G39" i="1"/>
  <c r="G75" i="1"/>
  <c r="E115" i="1"/>
  <c r="G47" i="1"/>
  <c r="I13" i="1"/>
  <c r="G49" i="1"/>
  <c r="E13" i="1"/>
  <c r="G73" i="1"/>
  <c r="G69" i="1"/>
  <c r="G33" i="1"/>
  <c r="G108" i="1"/>
  <c r="I126" i="1"/>
  <c r="E126" i="1"/>
  <c r="E122" i="1"/>
  <c r="G112" i="1"/>
  <c r="E21" i="1"/>
  <c r="G78" i="1"/>
  <c r="G56" i="1"/>
  <c r="I19" i="1"/>
  <c r="E19" i="1"/>
  <c r="E118" i="1"/>
  <c r="G114" i="1"/>
  <c r="E120" i="1"/>
  <c r="G50" i="1"/>
  <c r="I16" i="1"/>
  <c r="G52" i="1"/>
  <c r="E16" i="1"/>
  <c r="G79" i="1"/>
  <c r="G36" i="1"/>
  <c r="G111" i="1"/>
  <c r="G72" i="1"/>
  <c r="E117" i="1"/>
  <c r="G38" i="1"/>
  <c r="I10" i="1"/>
  <c r="G46" i="1"/>
  <c r="E10" i="1"/>
  <c r="I124" i="1"/>
  <c r="G66" i="1"/>
  <c r="E30" i="1"/>
  <c r="G105" i="1"/>
  <c r="I123" i="1"/>
  <c r="G71" i="1"/>
  <c r="I8" i="1"/>
  <c r="I119" i="1"/>
  <c r="E119" i="1"/>
  <c r="G43" i="1"/>
  <c r="I121" i="1"/>
  <c r="E121" i="1"/>
  <c r="G63" i="1"/>
  <c r="E27" i="1"/>
  <c r="G102" i="1"/>
  <c r="E72" i="1"/>
  <c r="G65" i="1"/>
  <c r="G37" i="1"/>
  <c r="G96" i="1"/>
  <c r="G34" i="1"/>
  <c r="G106" i="1"/>
  <c r="G54" i="1"/>
  <c r="E18" i="1"/>
  <c r="G93" i="1"/>
  <c r="I23" i="1"/>
  <c r="G126" i="1"/>
  <c r="I31" i="1"/>
  <c r="G67" i="1"/>
  <c r="E31" i="1"/>
  <c r="G100" i="1"/>
  <c r="G103" i="1"/>
  <c r="E15" i="1"/>
  <c r="G90" i="1"/>
  <c r="I20" i="1"/>
  <c r="G41" i="1"/>
  <c r="E123" i="1"/>
  <c r="I28" i="1"/>
  <c r="G64" i="1"/>
  <c r="E28" i="1"/>
  <c r="G97" i="1"/>
  <c r="G94" i="1"/>
  <c r="G48" i="1"/>
  <c r="E12" i="1"/>
  <c r="G87" i="1"/>
  <c r="I17" i="1"/>
  <c r="G35" i="1"/>
  <c r="G68" i="1"/>
  <c r="I25" i="1"/>
  <c r="G61" i="1"/>
  <c r="E25" i="1"/>
  <c r="G91" i="1"/>
  <c r="G85" i="1"/>
  <c r="G45" i="1"/>
  <c r="E9" i="1"/>
  <c r="G84" i="1"/>
  <c r="I14" i="1"/>
  <c r="G32" i="1"/>
  <c r="K119" i="1" l="1"/>
  <c r="K117" i="1"/>
  <c r="K125" i="1"/>
  <c r="K122" i="1"/>
  <c r="K120" i="1"/>
  <c r="K15" i="1"/>
  <c r="K19" i="1"/>
  <c r="K72" i="1"/>
  <c r="K21" i="1"/>
  <c r="K116" i="1"/>
  <c r="K40" i="1"/>
  <c r="K58" i="1"/>
  <c r="K25" i="1"/>
  <c r="K11" i="1"/>
  <c r="K88" i="1"/>
  <c r="K106" i="1"/>
  <c r="K62" i="1"/>
  <c r="K101" i="1"/>
  <c r="K78" i="1"/>
  <c r="K114" i="1"/>
  <c r="K17" i="1"/>
  <c r="K123" i="1"/>
  <c r="K29" i="1"/>
  <c r="K49" i="1"/>
  <c r="K67" i="1"/>
  <c r="K97" i="1"/>
  <c r="K12" i="1"/>
  <c r="K13" i="1"/>
  <c r="K82" i="1"/>
  <c r="K100" i="1"/>
  <c r="K68" i="1"/>
  <c r="K85" i="1"/>
  <c r="K103" i="1"/>
  <c r="K71" i="1"/>
  <c r="K75" i="1"/>
  <c r="K93" i="1"/>
  <c r="K111" i="1"/>
  <c r="K63" i="1"/>
  <c r="K24" i="1"/>
  <c r="K28" i="1"/>
  <c r="K30" i="1"/>
  <c r="K16" i="1"/>
  <c r="K115" i="1"/>
  <c r="K65" i="1"/>
  <c r="K53" i="1"/>
  <c r="K64" i="1"/>
  <c r="K110" i="1"/>
  <c r="K76" i="1"/>
  <c r="K94" i="1"/>
  <c r="K112" i="1"/>
  <c r="K56" i="1"/>
  <c r="K32" i="1"/>
  <c r="K84" i="1"/>
  <c r="K102" i="1"/>
  <c r="K36" i="1"/>
  <c r="K54" i="1"/>
  <c r="K80" i="1"/>
  <c r="K113" i="1"/>
  <c r="K118" i="1"/>
  <c r="K41" i="1"/>
  <c r="K22" i="1"/>
  <c r="K124" i="1"/>
  <c r="K105" i="1"/>
  <c r="K57" i="1"/>
  <c r="K83" i="1"/>
  <c r="K95" i="1"/>
  <c r="K79" i="1"/>
  <c r="K87" i="1"/>
  <c r="K39" i="1"/>
  <c r="K9" i="1"/>
  <c r="K35" i="1"/>
  <c r="K44" i="1"/>
  <c r="K8" i="1"/>
  <c r="M3" i="1" s="1"/>
  <c r="N3" i="1" s="1"/>
  <c r="K34" i="1"/>
  <c r="K52" i="1"/>
  <c r="K70" i="1"/>
  <c r="K90" i="1"/>
  <c r="K108" i="1"/>
  <c r="K42" i="1"/>
  <c r="K60" i="1"/>
  <c r="K86" i="1"/>
  <c r="K31" i="1"/>
  <c r="K104" i="1"/>
  <c r="K50" i="1"/>
  <c r="K59" i="1"/>
  <c r="K37" i="1"/>
  <c r="K55" i="1"/>
  <c r="K26" i="1"/>
  <c r="K92" i="1"/>
  <c r="K89" i="1"/>
  <c r="K98" i="1"/>
  <c r="K27" i="1"/>
  <c r="K14" i="1"/>
  <c r="K96" i="1"/>
  <c r="K48" i="1"/>
  <c r="K66" i="1"/>
  <c r="K74" i="1"/>
  <c r="K23" i="1"/>
  <c r="K61" i="1"/>
  <c r="K126" i="1"/>
  <c r="K20" i="1"/>
  <c r="K18" i="1"/>
  <c r="K121" i="1"/>
  <c r="K10" i="1"/>
  <c r="K73" i="1"/>
  <c r="K91" i="1"/>
  <c r="K109" i="1"/>
  <c r="K38" i="1"/>
  <c r="K81" i="1"/>
  <c r="K99" i="1"/>
  <c r="K107" i="1"/>
  <c r="K51" i="1"/>
  <c r="K69" i="1"/>
  <c r="K77" i="1"/>
  <c r="K45" i="1"/>
  <c r="K46" i="1"/>
  <c r="K47" i="1"/>
  <c r="K33" i="1"/>
  <c r="K127" i="1" l="1"/>
</calcChain>
</file>

<file path=xl/sharedStrings.xml><?xml version="1.0" encoding="utf-8"?>
<sst xmlns="http://schemas.openxmlformats.org/spreadsheetml/2006/main" count="395" uniqueCount="246">
  <si>
    <t>ADMIN COST (2 FTE*3 YRS)</t>
  </si>
  <si>
    <t>SCALING PROJECTS &amp; TECH</t>
  </si>
  <si>
    <t>CCC HEADCOUNT</t>
  </si>
  <si>
    <t>PER STUDENT</t>
  </si>
  <si>
    <t>PROJECTED</t>
  </si>
  <si>
    <t>BALANCE</t>
  </si>
  <si>
    <t>ORDER</t>
  </si>
  <si>
    <t>LOCATION</t>
  </si>
  <si>
    <t>2022-2023 MIS ANNUAL HEADCOUNT</t>
  </si>
  <si>
    <t>HEADCOUNT PCT TOTAL</t>
  </si>
  <si>
    <t>PRIORITY 1
Increase CCC certificate or degree completion through CPL awards.
METRIC: DOCUMENTED COMPLETION WITH TRANSCRIBED CPL UNITS &gt;=6 IN MAP</t>
  </si>
  <si>
    <t>PRIORITY 2
Increase college access through CPL.
METRIC: DOCUMENTED ENROLLMENTS WITH CPL WITH TRANSCRIBED CPL UNITS &gt;=6 IN MAP</t>
  </si>
  <si>
    <t>PRIORITY 3
Increase CCC CPL capacity, visibility, documentability, interoperability, mobility.
METRIC: TOTAL HEADCOUNT WITH TRANSCRIBED 
CPL IN MAP AND MIS</t>
  </si>
  <si>
    <t>TOTAL POTENTIAL ALLOCATION</t>
  </si>
  <si>
    <t>DISTRICT</t>
  </si>
  <si>
    <t>COUNTY</t>
  </si>
  <si>
    <t>2022 ESTIMATED WORKING ADULTS SOME COLLEGE NO DEGREE</t>
  </si>
  <si>
    <t>PERCENT COUNTY POPULATION</t>
  </si>
  <si>
    <t>COLLEGE HEADCOUNT PCT CPUNTY TOTAL</t>
  </si>
  <si>
    <t>FUNDING FACTOR</t>
  </si>
  <si>
    <t>PROJECTED  HEADCOUNT</t>
  </si>
  <si>
    <t>SYSTEM</t>
  </si>
  <si>
    <t>CCCCO</t>
  </si>
  <si>
    <t>CALIFORNIA</t>
  </si>
  <si>
    <t>Alameda</t>
  </si>
  <si>
    <t>Peralta Community College District</t>
  </si>
  <si>
    <t>Berkeley City</t>
  </si>
  <si>
    <t>Chabot Hayward</t>
  </si>
  <si>
    <t>Chabot-Las Positas Community College District</t>
  </si>
  <si>
    <t>Laney</t>
  </si>
  <si>
    <t>Las Positas</t>
  </si>
  <si>
    <t>Merritt</t>
  </si>
  <si>
    <t>Ohlone</t>
  </si>
  <si>
    <t>Ohlone Community College District</t>
  </si>
  <si>
    <t>Butte</t>
  </si>
  <si>
    <t>Butte-Glenn Community College District</t>
  </si>
  <si>
    <t>Contra Costa</t>
  </si>
  <si>
    <t>Contra Costa Community College District</t>
  </si>
  <si>
    <t>Diablo Valley</t>
  </si>
  <si>
    <t>Los Medanos</t>
  </si>
  <si>
    <t>Lake Tahoe</t>
  </si>
  <si>
    <t>Lake Tahoe Community College District</t>
  </si>
  <si>
    <t>El Dorado</t>
  </si>
  <si>
    <t>Clovis</t>
  </si>
  <si>
    <t>State Center Community College District</t>
  </si>
  <si>
    <t>Fresno</t>
  </si>
  <si>
    <t>Fresno City</t>
  </si>
  <si>
    <t>Reedley College</t>
  </si>
  <si>
    <t>West Hills Coalinga</t>
  </si>
  <si>
    <t>West Hills Community College District</t>
  </si>
  <si>
    <t>Redwoods</t>
  </si>
  <si>
    <t>Redwoods Community College District</t>
  </si>
  <si>
    <t>Humboldt</t>
  </si>
  <si>
    <t>Imperial</t>
  </si>
  <si>
    <t>Imperial Community College District</t>
  </si>
  <si>
    <t>Bakersfield</t>
  </si>
  <si>
    <t>Kern Community College District</t>
  </si>
  <si>
    <t>Kern</t>
  </si>
  <si>
    <t>Cerro Coso</t>
  </si>
  <si>
    <t>Taft</t>
  </si>
  <si>
    <t>West Kern Community College District</t>
  </si>
  <si>
    <t>West Hills Lemoore</t>
  </si>
  <si>
    <t>Kings</t>
  </si>
  <si>
    <t>Lassen</t>
  </si>
  <si>
    <t>Lassen Community College District</t>
  </si>
  <si>
    <t>N/A*</t>
  </si>
  <si>
    <t>Antelope Valley</t>
  </si>
  <si>
    <t>Antelope Valley Community College District</t>
  </si>
  <si>
    <t>Los Angeles</t>
  </si>
  <si>
    <t>Canyons</t>
  </si>
  <si>
    <t>Santa Clarita Community College District</t>
  </si>
  <si>
    <t>Cerritos</t>
  </si>
  <si>
    <t>Cerritos Community College District</t>
  </si>
  <si>
    <t>Citrus</t>
  </si>
  <si>
    <t>Citrus Community College District</t>
  </si>
  <si>
    <t>Compton</t>
  </si>
  <si>
    <t>Compton Community College District</t>
  </si>
  <si>
    <t>East LA</t>
  </si>
  <si>
    <t>Los Angeles Community College District</t>
  </si>
  <si>
    <t>El Camino</t>
  </si>
  <si>
    <t>El Camino Community College District</t>
  </si>
  <si>
    <t>Glendale</t>
  </si>
  <si>
    <t>Glendale Community College District</t>
  </si>
  <si>
    <t>LA City</t>
  </si>
  <si>
    <t>LA Harbor</t>
  </si>
  <si>
    <t>LA Mission</t>
  </si>
  <si>
    <t>LA Pierce</t>
  </si>
  <si>
    <t>LA Swest</t>
  </si>
  <si>
    <t>LA Trade</t>
  </si>
  <si>
    <t>LA Valley</t>
  </si>
  <si>
    <t>Long Beach</t>
  </si>
  <si>
    <t>Long Beach Community College District</t>
  </si>
  <si>
    <t>Mt San Antonio</t>
  </si>
  <si>
    <t>Mt. San Antonio Community College District</t>
  </si>
  <si>
    <t>Pasadena</t>
  </si>
  <si>
    <t>Pasadena Area Community College District</t>
  </si>
  <si>
    <t>Rio Hondo</t>
  </si>
  <si>
    <t>Rio Hondo Community College District</t>
  </si>
  <si>
    <t>Santa Monica</t>
  </si>
  <si>
    <t>Santa Monica Community College District</t>
  </si>
  <si>
    <t>West LA</t>
  </si>
  <si>
    <t>Madera</t>
  </si>
  <si>
    <t>Marin</t>
  </si>
  <si>
    <t>Marin Community College District</t>
  </si>
  <si>
    <t>Mendocino</t>
  </si>
  <si>
    <t>Mendocino-Lake Community College District</t>
  </si>
  <si>
    <t>Merced</t>
  </si>
  <si>
    <t>Merced Community College District</t>
  </si>
  <si>
    <t>Hartnell</t>
  </si>
  <si>
    <t>Hartnell Community College District</t>
  </si>
  <si>
    <t>Monterey</t>
  </si>
  <si>
    <t>Monterey Peninsula Community College District</t>
  </si>
  <si>
    <t>Napa</t>
  </si>
  <si>
    <t>Napa Valley Community College District</t>
  </si>
  <si>
    <t>Coastline</t>
  </si>
  <si>
    <t>Coast Community College District</t>
  </si>
  <si>
    <t>Orange</t>
  </si>
  <si>
    <t>Cypress</t>
  </si>
  <si>
    <t>North Orange County Community College District</t>
  </si>
  <si>
    <t>Fullerton</t>
  </si>
  <si>
    <t>Golden West</t>
  </si>
  <si>
    <t>Irvine</t>
  </si>
  <si>
    <t>South Orange County Community College District</t>
  </si>
  <si>
    <t>North Orange Adult</t>
  </si>
  <si>
    <t>Orange Coast</t>
  </si>
  <si>
    <t>Saddleback</t>
  </si>
  <si>
    <t>Santa Ana</t>
  </si>
  <si>
    <t>Rancho Santiago Community College District</t>
  </si>
  <si>
    <t>Santiago Canyon</t>
  </si>
  <si>
    <t>Sierra</t>
  </si>
  <si>
    <t>Sierra Joint Community College District</t>
  </si>
  <si>
    <t>Placer</t>
  </si>
  <si>
    <t>Feather River</t>
  </si>
  <si>
    <t>Feather River Community College District</t>
  </si>
  <si>
    <t>Plumas</t>
  </si>
  <si>
    <t>Desert</t>
  </si>
  <si>
    <t>Desert Community College District</t>
  </si>
  <si>
    <t>Riverside</t>
  </si>
  <si>
    <t>Moreno Valley</t>
  </si>
  <si>
    <t>Riverside Community College District</t>
  </si>
  <si>
    <t>Mt. San Jacinto</t>
  </si>
  <si>
    <t>Mt. San Jacinto Community College District</t>
  </si>
  <si>
    <t>Norco College</t>
  </si>
  <si>
    <t>Palo Verde</t>
  </si>
  <si>
    <t>Palo Verde Community College District</t>
  </si>
  <si>
    <t>American River</t>
  </si>
  <si>
    <t>Los Rios Community College District</t>
  </si>
  <si>
    <t>Sacramento</t>
  </si>
  <si>
    <t>Cosumnes River</t>
  </si>
  <si>
    <t>Folsom Lake</t>
  </si>
  <si>
    <t>Sacramento City</t>
  </si>
  <si>
    <t>Barstow</t>
  </si>
  <si>
    <t>Barstow Community College District</t>
  </si>
  <si>
    <t>San Bernardino</t>
  </si>
  <si>
    <t>Chaffey</t>
  </si>
  <si>
    <t>Chaffey Community College District</t>
  </si>
  <si>
    <t>Copper Mountain</t>
  </si>
  <si>
    <t>Copper Mountain Community College District</t>
  </si>
  <si>
    <t>Crafton Hills</t>
  </si>
  <si>
    <t>San Bernardino Community College District</t>
  </si>
  <si>
    <t>Victor Valley</t>
  </si>
  <si>
    <t>Victor Valley Community College District</t>
  </si>
  <si>
    <t>Cuyamaca</t>
  </si>
  <si>
    <t>Grossmont-Cuyamaca Community College District</t>
  </si>
  <si>
    <t>San Diego</t>
  </si>
  <si>
    <t>Grossmont</t>
  </si>
  <si>
    <t>MiraCosta</t>
  </si>
  <si>
    <t>MiraCosta Community College District</t>
  </si>
  <si>
    <t>Palomar</t>
  </si>
  <si>
    <t>Palomar Community College District</t>
  </si>
  <si>
    <t>San Diego Adult</t>
  </si>
  <si>
    <t>San Diego Community College District</t>
  </si>
  <si>
    <t>San Diego City</t>
  </si>
  <si>
    <t>San Diego Mesa</t>
  </si>
  <si>
    <t>San Diego Miramar</t>
  </si>
  <si>
    <t>Southwestern</t>
  </si>
  <si>
    <t>Southwestern Community College District</t>
  </si>
  <si>
    <t>San Francisco</t>
  </si>
  <si>
    <t>San Francisco Community College District</t>
  </si>
  <si>
    <t>San Joaquin Delta</t>
  </si>
  <si>
    <t>San Joaquin Delta Community College District</t>
  </si>
  <si>
    <t>San Joaquin</t>
  </si>
  <si>
    <t>Cuesta</t>
  </si>
  <si>
    <t>San Luis Obispo County Community College District</t>
  </si>
  <si>
    <t>San Luis Obispo</t>
  </si>
  <si>
    <t>Canada</t>
  </si>
  <si>
    <t>San Mateo County Community College District</t>
  </si>
  <si>
    <t>San Mateo</t>
  </si>
  <si>
    <t>Skyline</t>
  </si>
  <si>
    <t>Allan Hancock</t>
  </si>
  <si>
    <t>Allan Hancock Joint Community College District</t>
  </si>
  <si>
    <t>Santa Barbara</t>
  </si>
  <si>
    <t>Santa Barbara Community College District</t>
  </si>
  <si>
    <t>Deanza</t>
  </si>
  <si>
    <t>Foothill-De Anza Community College District</t>
  </si>
  <si>
    <t>Santa Clara</t>
  </si>
  <si>
    <t>Evergreen Valley</t>
  </si>
  <si>
    <t>San Jose-Evergreen Community College District</t>
  </si>
  <si>
    <t>Foothill</t>
  </si>
  <si>
    <t>Gavilan</t>
  </si>
  <si>
    <t>Gavilan Joint Community College District</t>
  </si>
  <si>
    <t>Mission</t>
  </si>
  <si>
    <t>West Valley-Mission Community College District</t>
  </si>
  <si>
    <t>San Jose City</t>
  </si>
  <si>
    <t>West Valley</t>
  </si>
  <si>
    <t>Cabrillo</t>
  </si>
  <si>
    <t>Cabrillo Community College District</t>
  </si>
  <si>
    <t>Santa Cruz</t>
  </si>
  <si>
    <t>Shasta</t>
  </si>
  <si>
    <t>Shasta-Tehama-Trinity Joint Community College District</t>
  </si>
  <si>
    <t>Siskiyous</t>
  </si>
  <si>
    <t>Siskiyou Joint Community College District</t>
  </si>
  <si>
    <t>Siskiyou</t>
  </si>
  <si>
    <t>Solano</t>
  </si>
  <si>
    <t>Solano County Community College District</t>
  </si>
  <si>
    <t>Santa Rosa</t>
  </si>
  <si>
    <t>Sonoma County Junior College District</t>
  </si>
  <si>
    <t>Sonoma</t>
  </si>
  <si>
    <t>Modesto</t>
  </si>
  <si>
    <t>Yosemite Community College District</t>
  </si>
  <si>
    <t>Stanislaus</t>
  </si>
  <si>
    <t>CalBright</t>
  </si>
  <si>
    <t>California Online Community College District</t>
  </si>
  <si>
    <t>Statewide</t>
  </si>
  <si>
    <t>Porterville</t>
  </si>
  <si>
    <t>Tulare</t>
  </si>
  <si>
    <t>Sequoias</t>
  </si>
  <si>
    <t>Sequoias Community College District</t>
  </si>
  <si>
    <t>Columbia</t>
  </si>
  <si>
    <t>Tuolumne</t>
  </si>
  <si>
    <t>Moorpark</t>
  </si>
  <si>
    <t>Ventura County Community College District</t>
  </si>
  <si>
    <t>Ventura</t>
  </si>
  <si>
    <t>Oxnard</t>
  </si>
  <si>
    <t>Woodland</t>
  </si>
  <si>
    <t>Yuba Community College District</t>
  </si>
  <si>
    <t>Yolo</t>
  </si>
  <si>
    <t>Yuba</t>
  </si>
  <si>
    <t>AVERAGE ALLOCATION</t>
  </si>
  <si>
    <t>*Survey did not estimate counties &lt;65K in population</t>
  </si>
  <si>
    <t>Source: U.S. Census 2022 American Community Survey: https://data.census.gov/table/ACSDT1Y2022.B16010?q=Educational%20Attainment%20by%20employment%20status%20and%20state&amp;g=040XX00US06,06$0500000&amp;y=2022&amp;moe=false</t>
  </si>
  <si>
    <t>2026-27 CPL ONE-TIME FUNDING</t>
  </si>
  <si>
    <t>2025-26 CPL REMAINING ONE-TIME FUNDING</t>
  </si>
  <si>
    <t>26-30 TOTAL AVAILABLE COLLEGE FUNDING</t>
  </si>
  <si>
    <t>26-27 AVAILABLE COLLEGE FUNDING</t>
  </si>
  <si>
    <t>27-28 AVAILABLE COLLEGE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</si>
</sst>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6" fontId="4" fillId="2" borderId="1" xfId="0" applyNumberFormat="1" applyFont="1" applyFill="1" applyBorder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0" fontId="5" fillId="2" borderId="2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0" borderId="1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2" fillId="0" borderId="1" xfId="0" applyFont="1" applyBorder="1"/>
    <xf numFmtId="10" fontId="2" fillId="0" borderId="1" xfId="1" applyNumberFormat="1" applyFont="1" applyBorder="1"/>
    <xf numFmtId="164" fontId="2" fillId="0" borderId="1" xfId="1" applyNumberFormat="1" applyFont="1" applyBorder="1"/>
    <xf numFmtId="0" fontId="2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10" fontId="7" fillId="0" borderId="1" xfId="1" applyNumberFormat="1" applyFont="1" applyBorder="1"/>
    <xf numFmtId="3" fontId="6" fillId="0" borderId="1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dentrcc.sharepoint.com/sites/MilitaryArticulationPlatform/Shared%20Documents/CCCCO/Governors%20Budget/01092026%202025-26%20CPL%20Funding%20Models.xlsx" TargetMode="External"/><Relationship Id="rId1" Type="http://schemas.openxmlformats.org/officeDocument/2006/relationships/externalLinkPath" Target="01092026%202025-26%20CPL%20Funding%20Mode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PL IMPLEMENTATION MODEL Orig"/>
      <sheetName val="CPL IMPLEMENTATION MODEL Sam2"/>
      <sheetName val="CPL MODEL Erik 2026"/>
      <sheetName val="CPL IMPLEMENTATION MODEL 2026"/>
      <sheetName val="CPL IMPLEMENTATION MODEL Erik"/>
      <sheetName val="CPL IMPLEMENTATION MODEL3"/>
      <sheetName val="Activity List"/>
      <sheetName val="CPL Vision 2030 Budget"/>
      <sheetName val="Draft 24-25 Request Form"/>
      <sheetName val="Counties"/>
      <sheetName val="Sheet1"/>
      <sheetName val="Econ Impact"/>
      <sheetName val="ACSST1Y2022.S1501-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D510-0A18-4AEF-AFB2-8BE32F032974}">
  <dimension ref="A2:P129"/>
  <sheetViews>
    <sheetView showGridLines="0" tabSelected="1" zoomScale="96" zoomScaleNormal="96" workbookViewId="0">
      <selection activeCell="J2" sqref="J2"/>
    </sheetView>
  </sheetViews>
  <sheetFormatPr defaultColWidth="9.140625" defaultRowHeight="12.75" x14ac:dyDescent="0.2"/>
  <cols>
    <col min="1" max="1" width="4.140625" style="1" customWidth="1"/>
    <col min="2" max="2" width="16.7109375" style="8" bestFit="1" customWidth="1"/>
    <col min="3" max="3" width="12" style="9" bestFit="1" customWidth="1"/>
    <col min="4" max="4" width="15.7109375" style="9" customWidth="1"/>
    <col min="5" max="5" width="16.85546875" style="10" customWidth="1"/>
    <col min="6" max="6" width="12.28515625" style="10" customWidth="1"/>
    <col min="7" max="7" width="13.7109375" style="10" customWidth="1"/>
    <col min="8" max="8" width="12.28515625" style="10" customWidth="1"/>
    <col min="9" max="9" width="13.42578125" style="10" customWidth="1"/>
    <col min="10" max="10" width="13.5703125" style="10" customWidth="1"/>
    <col min="11" max="12" width="14" style="10" customWidth="1"/>
    <col min="13" max="14" width="12.28515625" style="10" customWidth="1"/>
    <col min="15" max="15" width="11.140625" style="10" bestFit="1" customWidth="1"/>
    <col min="16" max="16" width="9.85546875" style="10" customWidth="1"/>
    <col min="17" max="17" width="13.7109375" style="10" bestFit="1" customWidth="1"/>
    <col min="18" max="18" width="11.5703125" style="10" customWidth="1"/>
    <col min="19" max="16384" width="9.140625" style="10"/>
  </cols>
  <sheetData>
    <row r="2" spans="1:16" s="3" customFormat="1" ht="52.5" customHeight="1" x14ac:dyDescent="0.25">
      <c r="A2" s="1"/>
      <c r="C2" s="2" t="s">
        <v>242</v>
      </c>
      <c r="D2" s="2" t="s">
        <v>241</v>
      </c>
      <c r="E2" s="2" t="s">
        <v>0</v>
      </c>
      <c r="F2" s="2" t="s">
        <v>1</v>
      </c>
      <c r="G2" s="2" t="s">
        <v>243</v>
      </c>
      <c r="H2" s="2" t="s">
        <v>244</v>
      </c>
      <c r="I2" s="2" t="s">
        <v>245</v>
      </c>
      <c r="J2" s="2" t="s">
        <v>244</v>
      </c>
      <c r="K2" s="2" t="s">
        <v>2</v>
      </c>
      <c r="L2" s="2" t="s">
        <v>3</v>
      </c>
      <c r="M2" s="2" t="s">
        <v>4</v>
      </c>
      <c r="N2" s="2" t="s">
        <v>5</v>
      </c>
    </row>
    <row r="3" spans="1:16" s="3" customFormat="1" ht="18.75" customHeight="1" x14ac:dyDescent="0.25">
      <c r="A3" s="1"/>
      <c r="C3" s="4">
        <f>9040307</f>
        <v>9040307</v>
      </c>
      <c r="D3" s="4">
        <v>35000000</v>
      </c>
      <c r="E3" s="4">
        <f>400000*3</f>
        <v>1200000</v>
      </c>
      <c r="F3" s="4">
        <v>8040307</v>
      </c>
      <c r="G3" s="5"/>
      <c r="H3" s="5">
        <f>((C3+D3)-(E3+F3))/3</f>
        <v>11600000</v>
      </c>
      <c r="I3" s="5">
        <f>((C3+D3)-(E3+F3))/3</f>
        <v>11600000</v>
      </c>
      <c r="J3" s="5">
        <f>((C3+D3)-(E3+F3))/3</f>
        <v>11600000</v>
      </c>
      <c r="K3" s="6">
        <f>C8</f>
        <v>2190740</v>
      </c>
      <c r="L3" s="7">
        <f>H3/K3</f>
        <v>5.2950144699964392</v>
      </c>
      <c r="M3" s="6">
        <f>K8</f>
        <v>11599999.953599999</v>
      </c>
      <c r="N3" s="5">
        <f>H3-M3</f>
        <v>4.6400001272559166E-2</v>
      </c>
    </row>
    <row r="4" spans="1:16" x14ac:dyDescent="0.2">
      <c r="E4" s="9"/>
      <c r="F4" s="9"/>
      <c r="G4" s="9"/>
      <c r="H4" s="9"/>
      <c r="I4" s="9"/>
      <c r="J4" s="9"/>
      <c r="K4" s="9"/>
      <c r="L4" s="9"/>
      <c r="M4" s="9"/>
      <c r="N4" s="9"/>
    </row>
    <row r="5" spans="1:16" s="3" customFormat="1" ht="136.5" customHeight="1" x14ac:dyDescent="0.25">
      <c r="A5" s="11" t="s">
        <v>6</v>
      </c>
      <c r="B5" s="11" t="s">
        <v>7</v>
      </c>
      <c r="C5" s="11" t="s">
        <v>8</v>
      </c>
      <c r="D5" s="11" t="s">
        <v>9</v>
      </c>
      <c r="E5" s="12" t="s">
        <v>10</v>
      </c>
      <c r="F5" s="13"/>
      <c r="G5" s="12" t="s">
        <v>11</v>
      </c>
      <c r="H5" s="13"/>
      <c r="I5" s="12" t="s">
        <v>12</v>
      </c>
      <c r="J5" s="14"/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</row>
    <row r="6" spans="1:16" ht="25.5" x14ac:dyDescent="0.2">
      <c r="A6" s="11"/>
      <c r="B6" s="11"/>
      <c r="C6" s="11"/>
      <c r="D6" s="11"/>
      <c r="E6" s="16" t="s">
        <v>19</v>
      </c>
      <c r="F6" s="16" t="s">
        <v>20</v>
      </c>
      <c r="G6" s="16" t="s">
        <v>19</v>
      </c>
      <c r="H6" s="16" t="s">
        <v>20</v>
      </c>
      <c r="I6" s="16" t="s">
        <v>19</v>
      </c>
      <c r="J6" s="16" t="s">
        <v>20</v>
      </c>
      <c r="K6" s="17"/>
      <c r="L6" s="17"/>
      <c r="M6" s="17"/>
      <c r="N6" s="17"/>
      <c r="O6" s="17"/>
      <c r="P6" s="17"/>
    </row>
    <row r="7" spans="1:16" s="3" customFormat="1" ht="19.5" customHeight="1" x14ac:dyDescent="0.25">
      <c r="A7" s="11"/>
      <c r="B7" s="11"/>
      <c r="C7" s="11"/>
      <c r="D7" s="11"/>
      <c r="E7" s="18">
        <v>6</v>
      </c>
      <c r="F7" s="19">
        <v>0.05</v>
      </c>
      <c r="G7" s="18">
        <v>7</v>
      </c>
      <c r="H7" s="19">
        <v>0.06</v>
      </c>
      <c r="I7" s="18">
        <v>6</v>
      </c>
      <c r="J7" s="19">
        <v>4.6666666000000002E-2</v>
      </c>
      <c r="K7" s="20"/>
      <c r="L7" s="20"/>
      <c r="M7" s="20"/>
      <c r="N7" s="20"/>
      <c r="O7" s="20"/>
      <c r="P7" s="20"/>
    </row>
    <row r="8" spans="1:16" s="28" customFormat="1" ht="21" customHeight="1" x14ac:dyDescent="0.25">
      <c r="A8" s="21">
        <v>0</v>
      </c>
      <c r="B8" s="22" t="s">
        <v>21</v>
      </c>
      <c r="C8" s="23">
        <f>SUM(C9:C125)</f>
        <v>2190740</v>
      </c>
      <c r="D8" s="24">
        <v>1</v>
      </c>
      <c r="E8" s="23">
        <f>F8*$L$3*E$7</f>
        <v>3480000</v>
      </c>
      <c r="F8" s="23">
        <f t="shared" ref="F8:F71" si="0">($C8*F$7)</f>
        <v>109537</v>
      </c>
      <c r="G8" s="23">
        <f>H8*$L$3*G$7</f>
        <v>4871999.9999999991</v>
      </c>
      <c r="H8" s="23">
        <f t="shared" ref="H8:H71" si="1">($C8*H$7)</f>
        <v>131444.4</v>
      </c>
      <c r="I8" s="23">
        <f>J8*$L$3*I$7</f>
        <v>3247999.9535999997</v>
      </c>
      <c r="J8" s="23">
        <f t="shared" ref="J8:J71" si="2">($C8*J$7)</f>
        <v>102234.53187284</v>
      </c>
      <c r="K8" s="23">
        <f>E8+G8+I8</f>
        <v>11599999.953599999</v>
      </c>
      <c r="L8" s="25" t="s">
        <v>22</v>
      </c>
      <c r="M8" s="25" t="s">
        <v>23</v>
      </c>
      <c r="N8" s="26">
        <v>5106199</v>
      </c>
      <c r="O8" s="27">
        <f t="shared" ref="O8:O30" si="3">SUM(N8/$N$8)</f>
        <v>1</v>
      </c>
      <c r="P8" s="27">
        <f>D8</f>
        <v>1</v>
      </c>
    </row>
    <row r="9" spans="1:16" ht="15" x14ac:dyDescent="0.25">
      <c r="A9" s="29">
        <v>1</v>
      </c>
      <c r="B9" s="30" t="s">
        <v>24</v>
      </c>
      <c r="C9" s="31">
        <v>9582</v>
      </c>
      <c r="D9" s="32">
        <f>C9/C8</f>
        <v>4.3738645389229209E-3</v>
      </c>
      <c r="E9" s="31">
        <f>F9*$L$3*E$7</f>
        <v>15221.048595451764</v>
      </c>
      <c r="F9" s="31">
        <f t="shared" si="0"/>
        <v>479.1</v>
      </c>
      <c r="G9" s="31">
        <f>H9*$L$3*G$7</f>
        <v>21309.468033632471</v>
      </c>
      <c r="H9" s="31">
        <f t="shared" si="1"/>
        <v>574.91999999999996</v>
      </c>
      <c r="I9" s="31">
        <f>J9*$L$3*I$7</f>
        <v>14206.311819474335</v>
      </c>
      <c r="J9" s="31">
        <f t="shared" si="2"/>
        <v>447.15999361200005</v>
      </c>
      <c r="K9" s="33">
        <f>E9+G9+I9</f>
        <v>50736.828448558568</v>
      </c>
      <c r="L9" s="30" t="s">
        <v>25</v>
      </c>
      <c r="M9" s="30" t="s">
        <v>24</v>
      </c>
      <c r="N9" s="34">
        <v>167785</v>
      </c>
      <c r="O9" s="35">
        <f t="shared" si="3"/>
        <v>3.2859079718593025E-2</v>
      </c>
      <c r="P9" s="36">
        <v>4.1450000000000001E-2</v>
      </c>
    </row>
    <row r="10" spans="1:16" ht="15" x14ac:dyDescent="0.25">
      <c r="A10" s="29">
        <v>7</v>
      </c>
      <c r="B10" s="30" t="s">
        <v>26</v>
      </c>
      <c r="C10" s="31">
        <v>10515</v>
      </c>
      <c r="D10" s="32">
        <v>4.7813775915043818E-3</v>
      </c>
      <c r="E10" s="31">
        <f>F10*$L$3*E$7</f>
        <v>16703.123145603768</v>
      </c>
      <c r="F10" s="31">
        <f t="shared" si="0"/>
        <v>525.75</v>
      </c>
      <c r="G10" s="31">
        <f>H10*$L$3*G$7</f>
        <v>23384.372403845275</v>
      </c>
      <c r="H10" s="31">
        <f t="shared" si="1"/>
        <v>630.9</v>
      </c>
      <c r="I10" s="31">
        <f>J10*$L$3*I$7</f>
        <v>15589.581379855208</v>
      </c>
      <c r="J10" s="31">
        <f t="shared" si="2"/>
        <v>490.69999299</v>
      </c>
      <c r="K10" s="33">
        <f t="shared" ref="K10:K73" si="4">E10+G10+I10</f>
        <v>55677.076929304254</v>
      </c>
      <c r="L10" s="30" t="s">
        <v>25</v>
      </c>
      <c r="M10" s="30" t="s">
        <v>24</v>
      </c>
      <c r="N10" s="34">
        <v>167785</v>
      </c>
      <c r="O10" s="35">
        <f t="shared" si="3"/>
        <v>3.2859079718593025E-2</v>
      </c>
      <c r="P10" s="36">
        <v>4.1450000000000001E-2</v>
      </c>
    </row>
    <row r="11" spans="1:16" ht="15" x14ac:dyDescent="0.25">
      <c r="A11" s="29">
        <v>14</v>
      </c>
      <c r="B11" s="30" t="s">
        <v>27</v>
      </c>
      <c r="C11" s="31">
        <v>17342</v>
      </c>
      <c r="D11" s="32">
        <v>7.8857489483470256E-3</v>
      </c>
      <c r="E11" s="31">
        <f>F11*$L$3*E$7</f>
        <v>27547.842281603476</v>
      </c>
      <c r="F11" s="31">
        <f t="shared" si="0"/>
        <v>867.1</v>
      </c>
      <c r="G11" s="31">
        <f>H11*$L$3*G$7</f>
        <v>38566.979194244865</v>
      </c>
      <c r="H11" s="31">
        <f t="shared" si="1"/>
        <v>1040.52</v>
      </c>
      <c r="I11" s="31">
        <f>J11*$L$3*I$7</f>
        <v>25711.319095525349</v>
      </c>
      <c r="J11" s="31">
        <f t="shared" si="2"/>
        <v>809.29332177200001</v>
      </c>
      <c r="K11" s="33">
        <f t="shared" si="4"/>
        <v>91826.140571373689</v>
      </c>
      <c r="L11" s="30" t="s">
        <v>28</v>
      </c>
      <c r="M11" s="30" t="s">
        <v>24</v>
      </c>
      <c r="N11" s="34">
        <v>167785</v>
      </c>
      <c r="O11" s="35">
        <f t="shared" si="3"/>
        <v>3.2859079718593025E-2</v>
      </c>
      <c r="P11" s="36">
        <v>4.1450000000000001E-2</v>
      </c>
    </row>
    <row r="12" spans="1:16" ht="15" x14ac:dyDescent="0.25">
      <c r="A12" s="29">
        <v>54</v>
      </c>
      <c r="B12" s="30" t="s">
        <v>29</v>
      </c>
      <c r="C12" s="31">
        <v>15939</v>
      </c>
      <c r="D12" s="32">
        <v>7.2477772164515767E-3</v>
      </c>
      <c r="E12" s="31">
        <f>F12*$L$3*E$7</f>
        <v>25319.170691181971</v>
      </c>
      <c r="F12" s="31">
        <f t="shared" si="0"/>
        <v>796.95</v>
      </c>
      <c r="G12" s="31">
        <f>H12*$L$3*G$7</f>
        <v>35446.838967654759</v>
      </c>
      <c r="H12" s="31">
        <f t="shared" si="1"/>
        <v>956.33999999999992</v>
      </c>
      <c r="I12" s="31">
        <f>J12*$L$3*I$7</f>
        <v>23631.225640847566</v>
      </c>
      <c r="J12" s="31">
        <f t="shared" si="2"/>
        <v>743.81998937399999</v>
      </c>
      <c r="K12" s="33">
        <f t="shared" si="4"/>
        <v>84397.235299684296</v>
      </c>
      <c r="L12" s="30" t="s">
        <v>25</v>
      </c>
      <c r="M12" s="30" t="s">
        <v>24</v>
      </c>
      <c r="N12" s="34">
        <v>167785</v>
      </c>
      <c r="O12" s="35">
        <f t="shared" si="3"/>
        <v>3.2859079718593025E-2</v>
      </c>
      <c r="P12" s="36">
        <v>4.1450000000000001E-2</v>
      </c>
    </row>
    <row r="13" spans="1:16" ht="15" x14ac:dyDescent="0.25">
      <c r="A13" s="29">
        <v>55</v>
      </c>
      <c r="B13" s="30" t="s">
        <v>30</v>
      </c>
      <c r="C13" s="31">
        <v>10371</v>
      </c>
      <c r="D13" s="32">
        <v>4.7158979554438362E-3</v>
      </c>
      <c r="E13" s="31">
        <f>F13*$L$3*E$7</f>
        <v>16474.378520499922</v>
      </c>
      <c r="F13" s="31">
        <f t="shared" si="0"/>
        <v>518.55000000000007</v>
      </c>
      <c r="G13" s="31">
        <f>H13*$L$3*G$7</f>
        <v>23064.129928699891</v>
      </c>
      <c r="H13" s="31">
        <f t="shared" si="1"/>
        <v>622.26</v>
      </c>
      <c r="I13" s="31">
        <f>J13*$L$3*I$7</f>
        <v>15376.08639947488</v>
      </c>
      <c r="J13" s="31">
        <f t="shared" si="2"/>
        <v>483.97999308600004</v>
      </c>
      <c r="K13" s="33">
        <f t="shared" si="4"/>
        <v>54914.594848674693</v>
      </c>
      <c r="L13" s="30" t="s">
        <v>28</v>
      </c>
      <c r="M13" s="30" t="s">
        <v>24</v>
      </c>
      <c r="N13" s="34">
        <v>167785</v>
      </c>
      <c r="O13" s="35">
        <f t="shared" si="3"/>
        <v>3.2859079718593025E-2</v>
      </c>
      <c r="P13" s="36">
        <v>4.1450000000000001E-2</v>
      </c>
    </row>
    <row r="14" spans="1:16" ht="15" x14ac:dyDescent="0.25">
      <c r="A14" s="29">
        <v>63</v>
      </c>
      <c r="B14" s="30" t="s">
        <v>31</v>
      </c>
      <c r="C14" s="31">
        <v>11136</v>
      </c>
      <c r="D14" s="32">
        <v>5.063758522015481E-3</v>
      </c>
      <c r="E14" s="31">
        <f>F14*$L$3*E$7</f>
        <v>17689.584341364105</v>
      </c>
      <c r="F14" s="31">
        <f t="shared" si="0"/>
        <v>556.80000000000007</v>
      </c>
      <c r="G14" s="31">
        <f>H14*$L$3*G$7</f>
        <v>24765.418077909744</v>
      </c>
      <c r="H14" s="31">
        <f t="shared" si="1"/>
        <v>668.16</v>
      </c>
      <c r="I14" s="31">
        <f>J14*$L$3*I$7</f>
        <v>16510.278482745372</v>
      </c>
      <c r="J14" s="31">
        <f t="shared" si="2"/>
        <v>519.67999257600002</v>
      </c>
      <c r="K14" s="33">
        <f t="shared" si="4"/>
        <v>58965.280902019222</v>
      </c>
      <c r="L14" s="30" t="s">
        <v>25</v>
      </c>
      <c r="M14" s="30" t="s">
        <v>24</v>
      </c>
      <c r="N14" s="34">
        <v>167785</v>
      </c>
      <c r="O14" s="35">
        <f t="shared" si="3"/>
        <v>3.2859079718593025E-2</v>
      </c>
      <c r="P14" s="36">
        <v>4.1450000000000001E-2</v>
      </c>
    </row>
    <row r="15" spans="1:16" ht="15" x14ac:dyDescent="0.25">
      <c r="A15" s="29">
        <v>75</v>
      </c>
      <c r="B15" s="30" t="s">
        <v>32</v>
      </c>
      <c r="C15" s="31">
        <v>16230</v>
      </c>
      <c r="D15" s="32">
        <v>7.3801006476572617E-3</v>
      </c>
      <c r="E15" s="31">
        <f>F15*$L$3*E$7</f>
        <v>25781.425454412667</v>
      </c>
      <c r="F15" s="31">
        <f t="shared" si="0"/>
        <v>811.5</v>
      </c>
      <c r="G15" s="31">
        <f>H15*$L$3*G$7</f>
        <v>36093.995636177722</v>
      </c>
      <c r="H15" s="31">
        <f t="shared" si="1"/>
        <v>973.8</v>
      </c>
      <c r="I15" s="31">
        <f>J15*$L$3*I$7</f>
        <v>24062.66341369948</v>
      </c>
      <c r="J15" s="31">
        <f t="shared" si="2"/>
        <v>757.39998918000003</v>
      </c>
      <c r="K15" s="33">
        <f t="shared" si="4"/>
        <v>85938.084504289873</v>
      </c>
      <c r="L15" s="30" t="s">
        <v>33</v>
      </c>
      <c r="M15" s="30" t="s">
        <v>24</v>
      </c>
      <c r="N15" s="34">
        <v>167785</v>
      </c>
      <c r="O15" s="35">
        <f t="shared" si="3"/>
        <v>3.2859079718593025E-2</v>
      </c>
      <c r="P15" s="36">
        <v>4.1450000000000001E-2</v>
      </c>
    </row>
    <row r="16" spans="1:16" ht="15" x14ac:dyDescent="0.25">
      <c r="A16" s="29">
        <v>8</v>
      </c>
      <c r="B16" s="30" t="s">
        <v>34</v>
      </c>
      <c r="C16" s="31">
        <v>13448</v>
      </c>
      <c r="D16" s="32">
        <v>6.1150704565431212E-3</v>
      </c>
      <c r="E16" s="31">
        <f>F16*$L$3*E$7</f>
        <v>21362.206377753635</v>
      </c>
      <c r="F16" s="31">
        <f t="shared" si="0"/>
        <v>672.40000000000009</v>
      </c>
      <c r="G16" s="31">
        <f>H16*$L$3*G$7</f>
        <v>29907.088928855086</v>
      </c>
      <c r="H16" s="31">
        <f t="shared" si="1"/>
        <v>806.88</v>
      </c>
      <c r="I16" s="31">
        <f>J16*$L$3*I$7</f>
        <v>19938.059001073976</v>
      </c>
      <c r="J16" s="31">
        <f t="shared" si="2"/>
        <v>627.57332436800004</v>
      </c>
      <c r="K16" s="33">
        <f t="shared" si="4"/>
        <v>71207.35430768269</v>
      </c>
      <c r="L16" s="30" t="s">
        <v>35</v>
      </c>
      <c r="M16" s="30" t="s">
        <v>34</v>
      </c>
      <c r="N16" s="34">
        <v>33835</v>
      </c>
      <c r="O16" s="35">
        <f t="shared" si="3"/>
        <v>6.6262595719438272E-3</v>
      </c>
      <c r="P16" s="36">
        <v>6.1150704565431212E-3</v>
      </c>
    </row>
    <row r="17" spans="1:16" ht="15" x14ac:dyDescent="0.25">
      <c r="A17" s="29">
        <v>21</v>
      </c>
      <c r="B17" s="30" t="s">
        <v>36</v>
      </c>
      <c r="C17" s="31">
        <v>9993</v>
      </c>
      <c r="D17" s="32">
        <v>4.5440139107849054E-3</v>
      </c>
      <c r="E17" s="31">
        <f>F17*$L$3*E$7</f>
        <v>15873.923879602327</v>
      </c>
      <c r="F17" s="31">
        <f t="shared" si="0"/>
        <v>499.65000000000003</v>
      </c>
      <c r="G17" s="31">
        <f>H17*$L$3*G$7</f>
        <v>22223.493431443254</v>
      </c>
      <c r="H17" s="31">
        <f t="shared" si="1"/>
        <v>599.57999999999993</v>
      </c>
      <c r="I17" s="31">
        <f>J17*$L$3*I$7</f>
        <v>14815.662075976517</v>
      </c>
      <c r="J17" s="31">
        <f t="shared" si="2"/>
        <v>466.339993338</v>
      </c>
      <c r="K17" s="33">
        <f t="shared" si="4"/>
        <v>52913.079387022095</v>
      </c>
      <c r="L17" s="30" t="s">
        <v>37</v>
      </c>
      <c r="M17" s="30" t="s">
        <v>36</v>
      </c>
      <c r="N17" s="34">
        <v>146127</v>
      </c>
      <c r="O17" s="35">
        <f t="shared" si="3"/>
        <v>2.8617568567147502E-2</v>
      </c>
      <c r="P17" s="36">
        <v>2.0660000000000001E-2</v>
      </c>
    </row>
    <row r="18" spans="1:16" ht="15" x14ac:dyDescent="0.25">
      <c r="A18" s="29">
        <v>30</v>
      </c>
      <c r="B18" s="30" t="s">
        <v>38</v>
      </c>
      <c r="C18" s="31">
        <v>23983</v>
      </c>
      <c r="D18" s="32">
        <v>1.0905542441944799E-2</v>
      </c>
      <c r="E18" s="31">
        <f>F18*$L$3*E$7</f>
        <v>38097.099610177378</v>
      </c>
      <c r="F18" s="31">
        <f t="shared" si="0"/>
        <v>1199.1500000000001</v>
      </c>
      <c r="G18" s="31">
        <f>H18*$L$3*G$7</f>
        <v>53335.939454248328</v>
      </c>
      <c r="H18" s="31">
        <f t="shared" si="1"/>
        <v>1438.98</v>
      </c>
      <c r="I18" s="31">
        <f>J18*$L$3*I$7</f>
        <v>35557.29246153756</v>
      </c>
      <c r="J18" s="31">
        <f t="shared" si="2"/>
        <v>1119.206650678</v>
      </c>
      <c r="K18" s="33">
        <f t="shared" si="4"/>
        <v>126990.33152596327</v>
      </c>
      <c r="L18" s="30" t="s">
        <v>37</v>
      </c>
      <c r="M18" s="30" t="s">
        <v>36</v>
      </c>
      <c r="N18" s="34">
        <v>146127</v>
      </c>
      <c r="O18" s="35">
        <f t="shared" si="3"/>
        <v>2.8617568567147502E-2</v>
      </c>
      <c r="P18" s="36">
        <v>2.0660000000000001E-2</v>
      </c>
    </row>
    <row r="19" spans="1:16" ht="15" x14ac:dyDescent="0.25">
      <c r="A19" s="29">
        <v>58</v>
      </c>
      <c r="B19" s="30" t="s">
        <v>39</v>
      </c>
      <c r="C19" s="31">
        <v>11452</v>
      </c>
      <c r="D19" s="32">
        <v>5.2074499455927892E-3</v>
      </c>
      <c r="E19" s="31">
        <f>F19*$L$3*E$7</f>
        <v>18191.551713119767</v>
      </c>
      <c r="F19" s="31">
        <f t="shared" si="0"/>
        <v>572.6</v>
      </c>
      <c r="G19" s="31">
        <f>H19*$L$3*G$7</f>
        <v>25468.172398367671</v>
      </c>
      <c r="H19" s="31">
        <f t="shared" si="1"/>
        <v>687.12</v>
      </c>
      <c r="I19" s="31">
        <f>J19*$L$3*I$7</f>
        <v>16978.781356357758</v>
      </c>
      <c r="J19" s="31">
        <f t="shared" si="2"/>
        <v>534.42665903199998</v>
      </c>
      <c r="K19" s="33">
        <f t="shared" si="4"/>
        <v>60638.505467845192</v>
      </c>
      <c r="L19" s="30" t="s">
        <v>37</v>
      </c>
      <c r="M19" s="30" t="s">
        <v>36</v>
      </c>
      <c r="N19" s="34">
        <v>146127</v>
      </c>
      <c r="O19" s="35">
        <f t="shared" si="3"/>
        <v>2.8617568567147502E-2</v>
      </c>
      <c r="P19" s="36">
        <v>2.0660000000000001E-2</v>
      </c>
    </row>
    <row r="20" spans="1:16" ht="15" x14ac:dyDescent="0.25">
      <c r="A20" s="29">
        <v>53</v>
      </c>
      <c r="B20" s="30" t="s">
        <v>40</v>
      </c>
      <c r="C20" s="31">
        <v>9259</v>
      </c>
      <c r="D20" s="32">
        <v>4.2102496547540714E-3</v>
      </c>
      <c r="E20" s="31">
        <f>F20*$L$3*E$7</f>
        <v>14707.961693309111</v>
      </c>
      <c r="F20" s="31">
        <f t="shared" si="0"/>
        <v>462.95000000000005</v>
      </c>
      <c r="G20" s="31">
        <f>H20*$L$3*G$7</f>
        <v>20591.146370632749</v>
      </c>
      <c r="H20" s="31">
        <f t="shared" si="1"/>
        <v>555.54</v>
      </c>
      <c r="I20" s="31">
        <f>J20*$L$3*I$7</f>
        <v>13727.430717649011</v>
      </c>
      <c r="J20" s="31">
        <f t="shared" si="2"/>
        <v>432.086660494</v>
      </c>
      <c r="K20" s="33">
        <f t="shared" si="4"/>
        <v>49026.538781590869</v>
      </c>
      <c r="L20" s="30" t="s">
        <v>41</v>
      </c>
      <c r="M20" s="30" t="s">
        <v>42</v>
      </c>
      <c r="N20" s="34">
        <v>37623</v>
      </c>
      <c r="O20" s="35">
        <f t="shared" si="3"/>
        <v>7.3681029666098014E-3</v>
      </c>
      <c r="P20" s="36">
        <v>4.2102496547540714E-3</v>
      </c>
    </row>
    <row r="21" spans="1:16" ht="15" x14ac:dyDescent="0.25">
      <c r="A21" s="29">
        <v>17</v>
      </c>
      <c r="B21" s="30" t="s">
        <v>43</v>
      </c>
      <c r="C21" s="31">
        <v>13162</v>
      </c>
      <c r="D21" s="32">
        <v>5.9850206238117607E-3</v>
      </c>
      <c r="E21" s="31">
        <f>F21*$L$3*E$7</f>
        <v>20907.89413622794</v>
      </c>
      <c r="F21" s="31">
        <f t="shared" si="0"/>
        <v>658.1</v>
      </c>
      <c r="G21" s="31">
        <f>H21*$L$3*G$7</f>
        <v>29271.051790719117</v>
      </c>
      <c r="H21" s="31">
        <f t="shared" si="1"/>
        <v>789.72</v>
      </c>
      <c r="I21" s="31">
        <f>J21*$L$3*I$7</f>
        <v>19514.034248374155</v>
      </c>
      <c r="J21" s="31">
        <f t="shared" si="2"/>
        <v>614.22665789200005</v>
      </c>
      <c r="K21" s="33">
        <f t="shared" si="4"/>
        <v>69692.980175321209</v>
      </c>
      <c r="L21" s="30" t="s">
        <v>44</v>
      </c>
      <c r="M21" s="30" t="s">
        <v>45</v>
      </c>
      <c r="N21" s="34">
        <v>138085</v>
      </c>
      <c r="O21" s="35">
        <f t="shared" si="3"/>
        <v>2.7042620156402051E-2</v>
      </c>
      <c r="P21" s="36">
        <v>3.0960000000000001E-2</v>
      </c>
    </row>
    <row r="22" spans="1:16" ht="15" x14ac:dyDescent="0.25">
      <c r="A22" s="29">
        <v>37</v>
      </c>
      <c r="B22" s="30" t="s">
        <v>46</v>
      </c>
      <c r="C22" s="31">
        <v>37104</v>
      </c>
      <c r="D22" s="32">
        <v>1.6871919558267102E-2</v>
      </c>
      <c r="E22" s="31">
        <f>F22*$L$3*E$7</f>
        <v>58939.865068424362</v>
      </c>
      <c r="F22" s="31">
        <f t="shared" si="0"/>
        <v>1855.2</v>
      </c>
      <c r="G22" s="31">
        <f>H22*$L$3*G$7</f>
        <v>82515.81109579411</v>
      </c>
      <c r="H22" s="31">
        <f t="shared" si="1"/>
        <v>2226.2399999999998</v>
      </c>
      <c r="I22" s="31">
        <f>J22*$L$3*I$7</f>
        <v>55010.539944664546</v>
      </c>
      <c r="J22" s="31">
        <f t="shared" si="2"/>
        <v>1731.5199752640001</v>
      </c>
      <c r="K22" s="33">
        <f t="shared" si="4"/>
        <v>196466.216108883</v>
      </c>
      <c r="L22" s="30" t="s">
        <v>44</v>
      </c>
      <c r="M22" s="30" t="s">
        <v>45</v>
      </c>
      <c r="N22" s="34">
        <v>138085</v>
      </c>
      <c r="O22" s="35">
        <f t="shared" si="3"/>
        <v>2.7042620156402051E-2</v>
      </c>
      <c r="P22" s="36">
        <v>3.0960000000000001E-2</v>
      </c>
    </row>
    <row r="23" spans="1:16" ht="15" x14ac:dyDescent="0.25">
      <c r="A23" s="29">
        <v>83</v>
      </c>
      <c r="B23" s="30" t="s">
        <v>47</v>
      </c>
      <c r="C23" s="31">
        <v>13227</v>
      </c>
      <c r="D23" s="32">
        <v>6.0145774039779788E-3</v>
      </c>
      <c r="E23" s="31">
        <f>F23*$L$3*E$7</f>
        <v>21011.146918392871</v>
      </c>
      <c r="F23" s="31">
        <f t="shared" si="0"/>
        <v>661.35</v>
      </c>
      <c r="G23" s="31">
        <f>H23*$L$3*G$7</f>
        <v>29415.605685750015</v>
      </c>
      <c r="H23" s="31">
        <f t="shared" si="1"/>
        <v>793.62</v>
      </c>
      <c r="I23" s="31">
        <f>J23*$L$3*I$7</f>
        <v>19610.403510351389</v>
      </c>
      <c r="J23" s="31">
        <f t="shared" si="2"/>
        <v>617.25999118200002</v>
      </c>
      <c r="K23" s="33">
        <f t="shared" si="4"/>
        <v>70037.156114494283</v>
      </c>
      <c r="L23" s="30" t="s">
        <v>44</v>
      </c>
      <c r="M23" s="30" t="s">
        <v>45</v>
      </c>
      <c r="N23" s="34">
        <v>138085</v>
      </c>
      <c r="O23" s="35">
        <f t="shared" si="3"/>
        <v>2.7042620156402051E-2</v>
      </c>
      <c r="P23" s="36">
        <v>3.0960000000000001E-2</v>
      </c>
    </row>
    <row r="24" spans="1:16" ht="15" x14ac:dyDescent="0.25">
      <c r="A24" s="29">
        <v>112</v>
      </c>
      <c r="B24" s="30" t="s">
        <v>48</v>
      </c>
      <c r="C24" s="31">
        <v>4595</v>
      </c>
      <c r="D24" s="32">
        <v>2.0894369979041968E-3</v>
      </c>
      <c r="E24" s="31">
        <f>F24*$L$3*E$7</f>
        <v>7299.1774468900912</v>
      </c>
      <c r="F24" s="31">
        <f t="shared" si="0"/>
        <v>229.75</v>
      </c>
      <c r="G24" s="31">
        <f>H24*$L$3*G$7</f>
        <v>10218.848425646129</v>
      </c>
      <c r="H24" s="31">
        <f t="shared" si="1"/>
        <v>275.7</v>
      </c>
      <c r="I24" s="31">
        <f>J24*$L$3*I$7</f>
        <v>6812.565519775053</v>
      </c>
      <c r="J24" s="31">
        <f t="shared" si="2"/>
        <v>214.43333027</v>
      </c>
      <c r="K24" s="33">
        <f t="shared" si="4"/>
        <v>24330.591392311275</v>
      </c>
      <c r="L24" s="30" t="s">
        <v>49</v>
      </c>
      <c r="M24" s="30" t="s">
        <v>45</v>
      </c>
      <c r="N24" s="34">
        <v>138085</v>
      </c>
      <c r="O24" s="35">
        <f t="shared" si="3"/>
        <v>2.7042620156402051E-2</v>
      </c>
      <c r="P24" s="36">
        <v>3.0960000000000001E-2</v>
      </c>
    </row>
    <row r="25" spans="1:16" ht="15" x14ac:dyDescent="0.25">
      <c r="A25" s="29">
        <v>82</v>
      </c>
      <c r="B25" s="30" t="s">
        <v>50</v>
      </c>
      <c r="C25" s="31">
        <v>6544</v>
      </c>
      <c r="D25" s="32">
        <v>2.9756856831958793E-3</v>
      </c>
      <c r="E25" s="31">
        <f>F25*$L$3*E$7</f>
        <v>10395.172407497012</v>
      </c>
      <c r="F25" s="31">
        <f t="shared" si="0"/>
        <v>327.20000000000005</v>
      </c>
      <c r="G25" s="31">
        <f>H25*$L$3*G$7</f>
        <v>14553.241370495813</v>
      </c>
      <c r="H25" s="31">
        <f t="shared" si="1"/>
        <v>392.64</v>
      </c>
      <c r="I25" s="31">
        <f>J25*$L$3*I$7</f>
        <v>9702.1607750615785</v>
      </c>
      <c r="J25" s="31">
        <f t="shared" si="2"/>
        <v>305.38666230400003</v>
      </c>
      <c r="K25" s="33">
        <f t="shared" si="4"/>
        <v>34650.574553054401</v>
      </c>
      <c r="L25" s="30" t="s">
        <v>51</v>
      </c>
      <c r="M25" s="30" t="s">
        <v>52</v>
      </c>
      <c r="N25" s="34">
        <v>24550</v>
      </c>
      <c r="O25" s="35">
        <f t="shared" si="3"/>
        <v>4.8078815572992753E-3</v>
      </c>
      <c r="P25" s="36">
        <v>2.9756856831958793E-3</v>
      </c>
    </row>
    <row r="26" spans="1:16" ht="15" x14ac:dyDescent="0.25">
      <c r="A26" s="29">
        <v>44</v>
      </c>
      <c r="B26" s="30" t="s">
        <v>53</v>
      </c>
      <c r="C26" s="31">
        <v>11715</v>
      </c>
      <c r="D26" s="32">
        <v>5.3270412253422564E-3</v>
      </c>
      <c r="E26" s="31">
        <f>F26*$L$3*E$7</f>
        <v>18609.328354802485</v>
      </c>
      <c r="F26" s="31">
        <f t="shared" si="0"/>
        <v>585.75</v>
      </c>
      <c r="G26" s="31">
        <f>H26*$L$3*G$7</f>
        <v>26053.059696723478</v>
      </c>
      <c r="H26" s="31">
        <f t="shared" si="1"/>
        <v>702.9</v>
      </c>
      <c r="I26" s="31">
        <f>J26*$L$3*I$7</f>
        <v>17368.706216357943</v>
      </c>
      <c r="J26" s="31">
        <f t="shared" si="2"/>
        <v>546.69999218999999</v>
      </c>
      <c r="K26" s="33">
        <f t="shared" si="4"/>
        <v>62031.094267883906</v>
      </c>
      <c r="L26" s="30" t="s">
        <v>54</v>
      </c>
      <c r="M26" s="30" t="s">
        <v>53</v>
      </c>
      <c r="N26" s="34">
        <v>23220</v>
      </c>
      <c r="O26" s="35">
        <f t="shared" si="3"/>
        <v>4.5474138395311271E-3</v>
      </c>
      <c r="P26" s="36">
        <v>5.3270412253422564E-3</v>
      </c>
    </row>
    <row r="27" spans="1:16" ht="15" x14ac:dyDescent="0.25">
      <c r="A27" s="29">
        <v>5</v>
      </c>
      <c r="B27" s="30" t="s">
        <v>55</v>
      </c>
      <c r="C27" s="31">
        <v>40496</v>
      </c>
      <c r="D27" s="32">
        <v>1.8414328763248829E-2</v>
      </c>
      <c r="E27" s="31">
        <f>F27*$L$3*E$7</f>
        <v>64328.071793092749</v>
      </c>
      <c r="F27" s="31">
        <f t="shared" si="0"/>
        <v>2024.8000000000002</v>
      </c>
      <c r="G27" s="31">
        <f>H27*$L$3*G$7</f>
        <v>90059.30051032982</v>
      </c>
      <c r="H27" s="31">
        <f t="shared" si="1"/>
        <v>2429.7599999999998</v>
      </c>
      <c r="I27" s="31">
        <f>J27*$L$3*I$7</f>
        <v>60039.532815845603</v>
      </c>
      <c r="J27" s="31">
        <f t="shared" si="2"/>
        <v>1889.8133063360001</v>
      </c>
      <c r="K27" s="33">
        <f t="shared" si="4"/>
        <v>214426.90511926817</v>
      </c>
      <c r="L27" s="30" t="s">
        <v>56</v>
      </c>
      <c r="M27" s="30" t="s">
        <v>57</v>
      </c>
      <c r="N27" s="34">
        <v>127203</v>
      </c>
      <c r="O27" s="35">
        <f t="shared" si="3"/>
        <v>2.4911485040046422E-2</v>
      </c>
      <c r="P27" s="36">
        <v>2.5239999999999999E-2</v>
      </c>
    </row>
    <row r="28" spans="1:16" ht="15" x14ac:dyDescent="0.25">
      <c r="A28" s="29">
        <v>13</v>
      </c>
      <c r="B28" s="30" t="s">
        <v>58</v>
      </c>
      <c r="C28" s="31">
        <v>8144</v>
      </c>
      <c r="D28" s="32">
        <v>3.7032371949797128E-3</v>
      </c>
      <c r="E28" s="31">
        <f>F28*$L$3*E$7</f>
        <v>12936.7793530953</v>
      </c>
      <c r="F28" s="31">
        <f t="shared" si="0"/>
        <v>407.20000000000005</v>
      </c>
      <c r="G28" s="31">
        <f>H28*$L$3*G$7</f>
        <v>18111.491094333422</v>
      </c>
      <c r="H28" s="31">
        <f t="shared" si="1"/>
        <v>488.64</v>
      </c>
      <c r="I28" s="31">
        <f>J28*$L$3*I$7</f>
        <v>12074.327223731889</v>
      </c>
      <c r="J28" s="31">
        <f t="shared" si="2"/>
        <v>380.05332790400001</v>
      </c>
      <c r="K28" s="33">
        <f t="shared" si="4"/>
        <v>43122.597671160613</v>
      </c>
      <c r="L28" s="30" t="s">
        <v>56</v>
      </c>
      <c r="M28" s="30" t="s">
        <v>57</v>
      </c>
      <c r="N28" s="34">
        <v>127203</v>
      </c>
      <c r="O28" s="35">
        <f t="shared" si="3"/>
        <v>2.4911485040046422E-2</v>
      </c>
      <c r="P28" s="36">
        <v>2.5239999999999999E-2</v>
      </c>
    </row>
    <row r="29" spans="1:16" ht="15" x14ac:dyDescent="0.25">
      <c r="A29" s="29">
        <v>109</v>
      </c>
      <c r="B29" s="30" t="s">
        <v>59</v>
      </c>
      <c r="C29" s="31">
        <v>6861</v>
      </c>
      <c r="D29" s="32">
        <v>3.1198318264680511E-3</v>
      </c>
      <c r="E29" s="31">
        <f>F29*$L$3*E$7</f>
        <v>10898.728283593671</v>
      </c>
      <c r="F29" s="31">
        <f t="shared" si="0"/>
        <v>343.05</v>
      </c>
      <c r="G29" s="31">
        <f>H29*$L$3*G$7</f>
        <v>15258.219597031139</v>
      </c>
      <c r="H29" s="31">
        <f t="shared" si="1"/>
        <v>411.65999999999997</v>
      </c>
      <c r="I29" s="31">
        <f>J29*$L$3*I$7</f>
        <v>10172.146252704382</v>
      </c>
      <c r="J29" s="31">
        <f t="shared" si="2"/>
        <v>320.179995426</v>
      </c>
      <c r="K29" s="33">
        <f t="shared" si="4"/>
        <v>36329.094133329192</v>
      </c>
      <c r="L29" s="30" t="s">
        <v>60</v>
      </c>
      <c r="M29" s="30" t="s">
        <v>57</v>
      </c>
      <c r="N29" s="34">
        <v>127203</v>
      </c>
      <c r="O29" s="35">
        <f t="shared" si="3"/>
        <v>2.4911485040046422E-2</v>
      </c>
      <c r="P29" s="36">
        <v>2.5239999999999999E-2</v>
      </c>
    </row>
    <row r="30" spans="1:16" ht="15" x14ac:dyDescent="0.25">
      <c r="A30" s="29">
        <v>113</v>
      </c>
      <c r="B30" s="30" t="s">
        <v>61</v>
      </c>
      <c r="C30" s="31">
        <v>6306</v>
      </c>
      <c r="D30" s="32">
        <v>2.867462395818034E-3</v>
      </c>
      <c r="E30" s="31">
        <f>F30*$L$3*E$7</f>
        <v>10017.108374339263</v>
      </c>
      <c r="F30" s="31">
        <f t="shared" si="0"/>
        <v>315.3</v>
      </c>
      <c r="G30" s="31">
        <f>H30*$L$3*G$7</f>
        <v>14023.95172407497</v>
      </c>
      <c r="H30" s="31">
        <f t="shared" si="1"/>
        <v>378.36</v>
      </c>
      <c r="I30" s="31">
        <f>J30*$L$3*I$7</f>
        <v>9349.3010158218676</v>
      </c>
      <c r="J30" s="31">
        <f t="shared" si="2"/>
        <v>294.27999579600004</v>
      </c>
      <c r="K30" s="33">
        <f t="shared" si="4"/>
        <v>33390.361114236104</v>
      </c>
      <c r="L30" s="30" t="s">
        <v>49</v>
      </c>
      <c r="M30" s="30" t="s">
        <v>62</v>
      </c>
      <c r="N30" s="34">
        <v>20828</v>
      </c>
      <c r="O30" s="35">
        <f t="shared" si="3"/>
        <v>4.0789636283270593E-3</v>
      </c>
      <c r="P30" s="36">
        <v>2.867462395818034E-3</v>
      </c>
    </row>
    <row r="31" spans="1:16" ht="15" x14ac:dyDescent="0.25">
      <c r="A31" s="29">
        <v>56</v>
      </c>
      <c r="B31" s="30" t="s">
        <v>63</v>
      </c>
      <c r="C31" s="31">
        <v>3238</v>
      </c>
      <c r="D31" s="32">
        <v>1.4723823719725332E-3</v>
      </c>
      <c r="E31" s="31">
        <f>F31*$L$3*E$7</f>
        <v>5143.5770561545414</v>
      </c>
      <c r="F31" s="31">
        <f t="shared" si="0"/>
        <v>161.9</v>
      </c>
      <c r="G31" s="31">
        <f>H31*$L$3*G$7</f>
        <v>7201.0078786163567</v>
      </c>
      <c r="H31" s="31">
        <f t="shared" si="1"/>
        <v>194.28</v>
      </c>
      <c r="I31" s="31">
        <f>J31*$L$3*I$7</f>
        <v>4800.6718504965438</v>
      </c>
      <c r="J31" s="31">
        <f t="shared" si="2"/>
        <v>151.10666450799999</v>
      </c>
      <c r="K31" s="33">
        <f t="shared" si="4"/>
        <v>17145.25678526744</v>
      </c>
      <c r="L31" s="30" t="s">
        <v>64</v>
      </c>
      <c r="M31" s="30" t="s">
        <v>63</v>
      </c>
      <c r="N31" s="37" t="s">
        <v>65</v>
      </c>
      <c r="O31" s="35"/>
      <c r="P31" s="36">
        <v>1.4723823719725332E-3</v>
      </c>
    </row>
    <row r="32" spans="1:16" ht="15" x14ac:dyDescent="0.25">
      <c r="A32" s="29">
        <v>4</v>
      </c>
      <c r="B32" s="30" t="s">
        <v>66</v>
      </c>
      <c r="C32" s="31">
        <v>15723</v>
      </c>
      <c r="D32" s="32">
        <v>7.1495577623607596E-3</v>
      </c>
      <c r="E32" s="31">
        <f>F32*$L$3*E$7</f>
        <v>24976.053753526205</v>
      </c>
      <c r="F32" s="31">
        <f t="shared" si="0"/>
        <v>786.15000000000009</v>
      </c>
      <c r="G32" s="31">
        <f>H32*$L$3*G$7</f>
        <v>34966.475254936682</v>
      </c>
      <c r="H32" s="31">
        <f t="shared" si="1"/>
        <v>943.38</v>
      </c>
      <c r="I32" s="31">
        <f>J32*$L$3*I$7</f>
        <v>23310.983170277075</v>
      </c>
      <c r="J32" s="31">
        <f t="shared" si="2"/>
        <v>733.73998951800002</v>
      </c>
      <c r="K32" s="33">
        <f t="shared" si="4"/>
        <v>83253.512178739969</v>
      </c>
      <c r="L32" s="30" t="s">
        <v>67</v>
      </c>
      <c r="M32" s="30" t="s">
        <v>68</v>
      </c>
      <c r="N32" s="34">
        <v>1200796</v>
      </c>
      <c r="O32" s="35">
        <f t="shared" ref="O32:O70" si="5">SUM(N32/$N$8)</f>
        <v>0.23516435610911365</v>
      </c>
      <c r="P32" s="36">
        <v>0.26201999999999998</v>
      </c>
    </row>
    <row r="33" spans="1:16" ht="15" x14ac:dyDescent="0.25">
      <c r="A33" s="29">
        <v>11</v>
      </c>
      <c r="B33" s="30" t="s">
        <v>69</v>
      </c>
      <c r="C33" s="31">
        <v>37173</v>
      </c>
      <c r="D33" s="32">
        <v>1.6903295217212778E-2</v>
      </c>
      <c r="E33" s="31">
        <f>F33*$L$3*E$7</f>
        <v>59049.471867953296</v>
      </c>
      <c r="F33" s="31">
        <f t="shared" si="0"/>
        <v>1858.65</v>
      </c>
      <c r="G33" s="31">
        <f>H33*$L$3*G$7</f>
        <v>82669.260615134612</v>
      </c>
      <c r="H33" s="31">
        <f t="shared" si="1"/>
        <v>2230.38</v>
      </c>
      <c r="I33" s="31">
        <f>J33*$L$3*I$7</f>
        <v>55112.839622763451</v>
      </c>
      <c r="J33" s="31">
        <f t="shared" si="2"/>
        <v>1734.7399752180002</v>
      </c>
      <c r="K33" s="33">
        <f t="shared" si="4"/>
        <v>196831.57210585137</v>
      </c>
      <c r="L33" s="30" t="s">
        <v>70</v>
      </c>
      <c r="M33" s="30" t="s">
        <v>68</v>
      </c>
      <c r="N33" s="34">
        <v>1200796</v>
      </c>
      <c r="O33" s="35">
        <f t="shared" si="5"/>
        <v>0.23516435610911365</v>
      </c>
      <c r="P33" s="36">
        <v>0.26201999999999998</v>
      </c>
    </row>
    <row r="34" spans="1:16" ht="15" x14ac:dyDescent="0.25">
      <c r="A34" s="29">
        <v>12</v>
      </c>
      <c r="B34" s="30" t="s">
        <v>71</v>
      </c>
      <c r="C34" s="31">
        <v>30614</v>
      </c>
      <c r="D34" s="32">
        <v>1.3920788738593926E-2</v>
      </c>
      <c r="E34" s="31">
        <f>F34*$L$3*E$7</f>
        <v>48630.471895341296</v>
      </c>
      <c r="F34" s="31">
        <f t="shared" si="0"/>
        <v>1530.7</v>
      </c>
      <c r="G34" s="31">
        <f>H34*$L$3*G$7</f>
        <v>68082.660653477811</v>
      </c>
      <c r="H34" s="31">
        <f t="shared" si="1"/>
        <v>1836.84</v>
      </c>
      <c r="I34" s="31">
        <f>J34*$L$3*I$7</f>
        <v>45388.439787245588</v>
      </c>
      <c r="J34" s="31">
        <f t="shared" si="2"/>
        <v>1428.6533129240001</v>
      </c>
      <c r="K34" s="33">
        <f t="shared" si="4"/>
        <v>162101.57233606471</v>
      </c>
      <c r="L34" s="30" t="s">
        <v>72</v>
      </c>
      <c r="M34" s="30" t="s">
        <v>68</v>
      </c>
      <c r="N34" s="34">
        <v>1200796</v>
      </c>
      <c r="O34" s="35">
        <f t="shared" si="5"/>
        <v>0.23516435610911365</v>
      </c>
      <c r="P34" s="36">
        <v>0.26201999999999998</v>
      </c>
    </row>
    <row r="35" spans="1:16" ht="15" x14ac:dyDescent="0.25">
      <c r="A35" s="29">
        <v>16</v>
      </c>
      <c r="B35" s="30" t="s">
        <v>73</v>
      </c>
      <c r="C35" s="31">
        <v>16383</v>
      </c>
      <c r="D35" s="32">
        <v>7.4496727609715905E-3</v>
      </c>
      <c r="E35" s="31">
        <f>F35*$L$3*E$7</f>
        <v>26024.466618585502</v>
      </c>
      <c r="F35" s="31">
        <f t="shared" si="0"/>
        <v>819.15000000000009</v>
      </c>
      <c r="G35" s="31">
        <f>H35*$L$3*G$7</f>
        <v>36434.253266019696</v>
      </c>
      <c r="H35" s="31">
        <f t="shared" si="1"/>
        <v>982.98</v>
      </c>
      <c r="I35" s="31">
        <f>J35*$L$3*I$7</f>
        <v>24289.50183035358</v>
      </c>
      <c r="J35" s="31">
        <f t="shared" si="2"/>
        <v>764.53998907800008</v>
      </c>
      <c r="K35" s="33">
        <f t="shared" si="4"/>
        <v>86748.221714958781</v>
      </c>
      <c r="L35" s="30" t="s">
        <v>74</v>
      </c>
      <c r="M35" s="30" t="s">
        <v>68</v>
      </c>
      <c r="N35" s="34">
        <v>1200796</v>
      </c>
      <c r="O35" s="35">
        <f t="shared" si="5"/>
        <v>0.23516435610911365</v>
      </c>
      <c r="P35" s="36">
        <v>0.26201999999999998</v>
      </c>
    </row>
    <row r="36" spans="1:16" ht="15" x14ac:dyDescent="0.25">
      <c r="A36" s="29">
        <v>20</v>
      </c>
      <c r="B36" s="30" t="s">
        <v>75</v>
      </c>
      <c r="C36" s="31">
        <v>6097</v>
      </c>
      <c r="D36" s="32">
        <v>2.7724259795912707E-3</v>
      </c>
      <c r="E36" s="31">
        <f>F36*$L$3*E$7</f>
        <v>9685.1109670704864</v>
      </c>
      <c r="F36" s="31">
        <f t="shared" si="0"/>
        <v>304.85000000000002</v>
      </c>
      <c r="G36" s="31">
        <f>H36*$L$3*G$7</f>
        <v>13559.155353898681</v>
      </c>
      <c r="H36" s="31">
        <f t="shared" si="1"/>
        <v>365.82</v>
      </c>
      <c r="I36" s="31">
        <f>J36*$L$3*I$7</f>
        <v>9039.4367734643074</v>
      </c>
      <c r="J36" s="31">
        <f t="shared" si="2"/>
        <v>284.52666260199999</v>
      </c>
      <c r="K36" s="33">
        <f t="shared" si="4"/>
        <v>32283.703094433477</v>
      </c>
      <c r="L36" s="30" t="s">
        <v>76</v>
      </c>
      <c r="M36" s="30" t="s">
        <v>68</v>
      </c>
      <c r="N36" s="34">
        <v>1200796</v>
      </c>
      <c r="O36" s="35">
        <f t="shared" si="5"/>
        <v>0.23516435610911365</v>
      </c>
      <c r="P36" s="36">
        <v>0.26201999999999998</v>
      </c>
    </row>
    <row r="37" spans="1:16" ht="15" x14ac:dyDescent="0.25">
      <c r="A37" s="29">
        <v>31</v>
      </c>
      <c r="B37" s="30" t="s">
        <v>77</v>
      </c>
      <c r="C37" s="31">
        <v>55291</v>
      </c>
      <c r="D37" s="32">
        <v>2.5141906648774963E-2</v>
      </c>
      <c r="E37" s="31">
        <f>F37*$L$3*E$7</f>
        <v>87829.993518171948</v>
      </c>
      <c r="F37" s="31">
        <f t="shared" si="0"/>
        <v>2764.55</v>
      </c>
      <c r="G37" s="31">
        <f>H37*$L$3*G$7</f>
        <v>122961.99092544071</v>
      </c>
      <c r="H37" s="31">
        <f t="shared" si="1"/>
        <v>3317.46</v>
      </c>
      <c r="I37" s="31">
        <f>J37*$L$3*I$7</f>
        <v>81974.659445893893</v>
      </c>
      <c r="J37" s="31">
        <f t="shared" si="2"/>
        <v>2580.2466298060003</v>
      </c>
      <c r="K37" s="33">
        <f t="shared" si="4"/>
        <v>292766.64388950658</v>
      </c>
      <c r="L37" s="30" t="s">
        <v>78</v>
      </c>
      <c r="M37" s="30" t="s">
        <v>68</v>
      </c>
      <c r="N37" s="34">
        <v>1200796</v>
      </c>
      <c r="O37" s="35">
        <f t="shared" si="5"/>
        <v>0.23516435610911365</v>
      </c>
      <c r="P37" s="36">
        <v>0.26201999999999998</v>
      </c>
    </row>
    <row r="38" spans="1:16" ht="15" x14ac:dyDescent="0.25">
      <c r="A38" s="29">
        <v>32</v>
      </c>
      <c r="B38" s="30" t="s">
        <v>79</v>
      </c>
      <c r="C38" s="31">
        <v>30575</v>
      </c>
      <c r="D38" s="32">
        <v>1.3903054670494195E-2</v>
      </c>
      <c r="E38" s="31">
        <f>F38*$L$3*E$7</f>
        <v>48568.520226042339</v>
      </c>
      <c r="F38" s="31">
        <f t="shared" si="0"/>
        <v>1528.75</v>
      </c>
      <c r="G38" s="31">
        <f>H38*$L$3*G$7</f>
        <v>67995.928316459278</v>
      </c>
      <c r="H38" s="31">
        <f t="shared" si="1"/>
        <v>1834.5</v>
      </c>
      <c r="I38" s="31">
        <f>J38*$L$3*I$7</f>
        <v>45330.618230059255</v>
      </c>
      <c r="J38" s="31">
        <f t="shared" si="2"/>
        <v>1426.8333129500002</v>
      </c>
      <c r="K38" s="33">
        <f t="shared" si="4"/>
        <v>161895.06677256088</v>
      </c>
      <c r="L38" s="30" t="s">
        <v>80</v>
      </c>
      <c r="M38" s="30" t="s">
        <v>68</v>
      </c>
      <c r="N38" s="34">
        <v>1200796</v>
      </c>
      <c r="O38" s="35">
        <f t="shared" si="5"/>
        <v>0.23516435610911365</v>
      </c>
      <c r="P38" s="36">
        <v>0.26201999999999998</v>
      </c>
    </row>
    <row r="39" spans="1:16" ht="15" x14ac:dyDescent="0.25">
      <c r="A39" s="29">
        <v>40</v>
      </c>
      <c r="B39" s="30" t="s">
        <v>81</v>
      </c>
      <c r="C39" s="31">
        <v>21852</v>
      </c>
      <c r="D39" s="32">
        <v>9.9365347721877065E-3</v>
      </c>
      <c r="E39" s="31">
        <f>F39*$L$3*E$7</f>
        <v>34711.996859508661</v>
      </c>
      <c r="F39" s="31">
        <f t="shared" si="0"/>
        <v>1092.6000000000001</v>
      </c>
      <c r="G39" s="31">
        <f>H39*$L$3*G$7</f>
        <v>48596.795603312115</v>
      </c>
      <c r="H39" s="31">
        <f t="shared" si="1"/>
        <v>1311.12</v>
      </c>
      <c r="I39" s="31">
        <f>J39*$L$3*I$7</f>
        <v>32397.863272714785</v>
      </c>
      <c r="J39" s="31">
        <f t="shared" si="2"/>
        <v>1019.759985432</v>
      </c>
      <c r="K39" s="33">
        <f t="shared" si="4"/>
        <v>115706.65573553555</v>
      </c>
      <c r="L39" s="30" t="s">
        <v>82</v>
      </c>
      <c r="M39" s="30" t="s">
        <v>68</v>
      </c>
      <c r="N39" s="34">
        <v>1200796</v>
      </c>
      <c r="O39" s="35">
        <f t="shared" si="5"/>
        <v>0.23516435610911365</v>
      </c>
      <c r="P39" s="36">
        <v>0.26201999999999998</v>
      </c>
    </row>
    <row r="40" spans="1:16" ht="15" x14ac:dyDescent="0.25">
      <c r="A40" s="29">
        <v>46</v>
      </c>
      <c r="B40" s="30" t="s">
        <v>83</v>
      </c>
      <c r="C40" s="31">
        <v>28134</v>
      </c>
      <c r="D40" s="32">
        <v>1.2793083895328983E-2</v>
      </c>
      <c r="E40" s="31">
        <f>F40*$L$3*E$7</f>
        <v>44690.981129663945</v>
      </c>
      <c r="F40" s="31">
        <f t="shared" si="0"/>
        <v>1406.7</v>
      </c>
      <c r="G40" s="31">
        <f>H40*$L$3*G$7</f>
        <v>62567.373581529522</v>
      </c>
      <c r="H40" s="31">
        <f t="shared" si="1"/>
        <v>1688.04</v>
      </c>
      <c r="I40" s="31">
        <f>J40*$L$3*I$7</f>
        <v>41711.58179180661</v>
      </c>
      <c r="J40" s="31">
        <f t="shared" si="2"/>
        <v>1312.9199812440002</v>
      </c>
      <c r="K40" s="33">
        <f t="shared" si="4"/>
        <v>148969.93650300009</v>
      </c>
      <c r="L40" s="30" t="s">
        <v>78</v>
      </c>
      <c r="M40" s="30" t="s">
        <v>68</v>
      </c>
      <c r="N40" s="34">
        <v>1200796</v>
      </c>
      <c r="O40" s="35">
        <f t="shared" si="5"/>
        <v>0.23516435610911365</v>
      </c>
      <c r="P40" s="36">
        <v>0.26201999999999998</v>
      </c>
    </row>
    <row r="41" spans="1:16" ht="15" x14ac:dyDescent="0.25">
      <c r="A41" s="29">
        <v>47</v>
      </c>
      <c r="B41" s="30" t="s">
        <v>84</v>
      </c>
      <c r="C41" s="31">
        <v>13692</v>
      </c>
      <c r="D41" s="32">
        <v>6.2260220620901563E-3</v>
      </c>
      <c r="E41" s="31">
        <f>F41*$L$3*E$7</f>
        <v>21749.801436957372</v>
      </c>
      <c r="F41" s="31">
        <f t="shared" si="0"/>
        <v>684.6</v>
      </c>
      <c r="G41" s="31">
        <f>H41*$L$3*G$7</f>
        <v>30449.722011740323</v>
      </c>
      <c r="H41" s="31">
        <f t="shared" si="1"/>
        <v>821.52</v>
      </c>
      <c r="I41" s="31">
        <f>J41*$L$3*I$7</f>
        <v>20299.814384496196</v>
      </c>
      <c r="J41" s="31">
        <f t="shared" si="2"/>
        <v>638.95999087200005</v>
      </c>
      <c r="K41" s="33">
        <f t="shared" si="4"/>
        <v>72499.337833193887</v>
      </c>
      <c r="L41" s="30" t="s">
        <v>78</v>
      </c>
      <c r="M41" s="30" t="s">
        <v>68</v>
      </c>
      <c r="N41" s="34">
        <v>1200796</v>
      </c>
      <c r="O41" s="35">
        <f t="shared" si="5"/>
        <v>0.23516435610911365</v>
      </c>
      <c r="P41" s="36">
        <v>0.26201999999999998</v>
      </c>
    </row>
    <row r="42" spans="1:16" ht="15" x14ac:dyDescent="0.25">
      <c r="A42" s="29">
        <v>48</v>
      </c>
      <c r="B42" s="30" t="s">
        <v>85</v>
      </c>
      <c r="C42" s="31">
        <v>18275</v>
      </c>
      <c r="D42" s="32">
        <v>8.3100024236559735E-3</v>
      </c>
      <c r="E42" s="31">
        <f>F42*$L$3*E$7</f>
        <v>29029.91683175548</v>
      </c>
      <c r="F42" s="31">
        <f t="shared" si="0"/>
        <v>913.75</v>
      </c>
      <c r="G42" s="31">
        <f>H42*$L$3*G$7</f>
        <v>40641.883564457668</v>
      </c>
      <c r="H42" s="31">
        <f t="shared" si="1"/>
        <v>1096.5</v>
      </c>
      <c r="I42" s="31">
        <f>J42*$L$3*I$7</f>
        <v>27094.58865590622</v>
      </c>
      <c r="J42" s="31">
        <f t="shared" si="2"/>
        <v>852.83332115000007</v>
      </c>
      <c r="K42" s="33">
        <f t="shared" si="4"/>
        <v>96766.389052119368</v>
      </c>
      <c r="L42" s="30" t="s">
        <v>78</v>
      </c>
      <c r="M42" s="30" t="s">
        <v>68</v>
      </c>
      <c r="N42" s="34">
        <v>1200796</v>
      </c>
      <c r="O42" s="35">
        <f t="shared" si="5"/>
        <v>0.23516435610911365</v>
      </c>
      <c r="P42" s="36">
        <v>0.26201999999999998</v>
      </c>
    </row>
    <row r="43" spans="1:16" ht="15" x14ac:dyDescent="0.25">
      <c r="A43" s="29">
        <v>49</v>
      </c>
      <c r="B43" s="30" t="s">
        <v>86</v>
      </c>
      <c r="C43" s="31">
        <v>26326</v>
      </c>
      <c r="D43" s="32">
        <v>1.1970950687013251E-2</v>
      </c>
      <c r="E43" s="31">
        <f>F43*$L$3*E$7</f>
        <v>41818.965281137884</v>
      </c>
      <c r="F43" s="31">
        <f t="shared" si="0"/>
        <v>1316.3000000000002</v>
      </c>
      <c r="G43" s="31">
        <f>H43*$L$3*G$7</f>
        <v>58546.551393593036</v>
      </c>
      <c r="H43" s="31">
        <f t="shared" si="1"/>
        <v>1579.56</v>
      </c>
      <c r="I43" s="31">
        <f>J43*$L$3*I$7</f>
        <v>39031.033704809146</v>
      </c>
      <c r="J43" s="31">
        <f t="shared" si="2"/>
        <v>1228.546649116</v>
      </c>
      <c r="K43" s="33">
        <f t="shared" si="4"/>
        <v>139396.55037954007</v>
      </c>
      <c r="L43" s="30" t="s">
        <v>78</v>
      </c>
      <c r="M43" s="30" t="s">
        <v>68</v>
      </c>
      <c r="N43" s="34">
        <v>1200796</v>
      </c>
      <c r="O43" s="35">
        <f t="shared" si="5"/>
        <v>0.23516435610911365</v>
      </c>
      <c r="P43" s="36">
        <v>0.26201999999999998</v>
      </c>
    </row>
    <row r="44" spans="1:16" ht="15" x14ac:dyDescent="0.25">
      <c r="A44" s="29">
        <v>50</v>
      </c>
      <c r="B44" s="30" t="s">
        <v>87</v>
      </c>
      <c r="C44" s="31">
        <v>10947</v>
      </c>
      <c r="D44" s="32">
        <v>4.977816499686016E-3</v>
      </c>
      <c r="E44" s="31">
        <f>F44*$L$3*E$7</f>
        <v>17389.357020915308</v>
      </c>
      <c r="F44" s="31">
        <f t="shared" si="0"/>
        <v>547.35</v>
      </c>
      <c r="G44" s="31">
        <f>H44*$L$3*G$7</f>
        <v>24345.099829281426</v>
      </c>
      <c r="H44" s="31">
        <f t="shared" si="1"/>
        <v>656.81999999999994</v>
      </c>
      <c r="I44" s="31">
        <f>J44*$L$3*I$7</f>
        <v>16230.066320996193</v>
      </c>
      <c r="J44" s="31">
        <f t="shared" si="2"/>
        <v>510.859992702</v>
      </c>
      <c r="K44" s="33">
        <f t="shared" si="4"/>
        <v>57964.523171192923</v>
      </c>
      <c r="L44" s="30" t="s">
        <v>78</v>
      </c>
      <c r="M44" s="30" t="s">
        <v>68</v>
      </c>
      <c r="N44" s="34">
        <v>1200796</v>
      </c>
      <c r="O44" s="35">
        <f t="shared" si="5"/>
        <v>0.23516435610911365</v>
      </c>
      <c r="P44" s="36">
        <v>0.26201999999999998</v>
      </c>
    </row>
    <row r="45" spans="1:16" ht="15" x14ac:dyDescent="0.25">
      <c r="A45" s="29">
        <v>51</v>
      </c>
      <c r="B45" s="30" t="s">
        <v>88</v>
      </c>
      <c r="C45" s="31">
        <v>19286</v>
      </c>
      <c r="D45" s="32">
        <v>8.7697240351643849E-3</v>
      </c>
      <c r="E45" s="31">
        <f>F45*$L$3*E$7</f>
        <v>30635.894720505399</v>
      </c>
      <c r="F45" s="31">
        <f t="shared" si="0"/>
        <v>964.30000000000007</v>
      </c>
      <c r="G45" s="31">
        <f>H45*$L$3*G$7</f>
        <v>42890.252608707553</v>
      </c>
      <c r="H45" s="31">
        <f t="shared" si="1"/>
        <v>1157.1599999999999</v>
      </c>
      <c r="I45" s="31">
        <f>J45*$L$3*I$7</f>
        <v>28593.501330659783</v>
      </c>
      <c r="J45" s="31">
        <f t="shared" si="2"/>
        <v>900.0133204760001</v>
      </c>
      <c r="K45" s="33">
        <f t="shared" si="4"/>
        <v>102119.64865987274</v>
      </c>
      <c r="L45" s="30" t="s">
        <v>78</v>
      </c>
      <c r="M45" s="30" t="s">
        <v>68</v>
      </c>
      <c r="N45" s="34">
        <v>1200796</v>
      </c>
      <c r="O45" s="35">
        <f t="shared" si="5"/>
        <v>0.23516435610911365</v>
      </c>
      <c r="P45" s="36">
        <v>0.26201999999999998</v>
      </c>
    </row>
    <row r="46" spans="1:16" ht="15" x14ac:dyDescent="0.25">
      <c r="A46" s="29">
        <v>52</v>
      </c>
      <c r="B46" s="30" t="s">
        <v>89</v>
      </c>
      <c r="C46" s="31">
        <v>27178</v>
      </c>
      <c r="D46" s="32">
        <v>1.2358371867038143E-2</v>
      </c>
      <c r="E46" s="31">
        <f>F46*$L$3*E$7</f>
        <v>43172.370979668973</v>
      </c>
      <c r="F46" s="31">
        <f t="shared" si="0"/>
        <v>1358.9</v>
      </c>
      <c r="G46" s="31">
        <f>H46*$L$3*G$7</f>
        <v>60441.319371536556</v>
      </c>
      <c r="H46" s="31">
        <f t="shared" si="1"/>
        <v>1630.6799999999998</v>
      </c>
      <c r="I46" s="31">
        <f>J46*$L$3*I$7</f>
        <v>40294.212338726094</v>
      </c>
      <c r="J46" s="31">
        <f t="shared" si="2"/>
        <v>1268.3066485480001</v>
      </c>
      <c r="K46" s="33">
        <f t="shared" si="4"/>
        <v>143907.90268993162</v>
      </c>
      <c r="L46" s="30" t="s">
        <v>78</v>
      </c>
      <c r="M46" s="30" t="s">
        <v>68</v>
      </c>
      <c r="N46" s="34">
        <v>1200796</v>
      </c>
      <c r="O46" s="35">
        <f t="shared" si="5"/>
        <v>0.23516435610911365</v>
      </c>
      <c r="P46" s="36">
        <v>0.26201999999999998</v>
      </c>
    </row>
    <row r="47" spans="1:16" ht="15" x14ac:dyDescent="0.25">
      <c r="A47" s="29">
        <v>57</v>
      </c>
      <c r="B47" s="30" t="s">
        <v>90</v>
      </c>
      <c r="C47" s="31">
        <v>34680</v>
      </c>
      <c r="D47" s="32">
        <v>1.5769679017914592E-2</v>
      </c>
      <c r="E47" s="31">
        <f>F47*$L$3*E$7</f>
        <v>55089.330545842953</v>
      </c>
      <c r="F47" s="31">
        <f t="shared" si="0"/>
        <v>1734</v>
      </c>
      <c r="G47" s="31">
        <f>H47*$L$3*G$7</f>
        <v>77125.062764180126</v>
      </c>
      <c r="H47" s="31">
        <f t="shared" si="1"/>
        <v>2080.7999999999997</v>
      </c>
      <c r="I47" s="31">
        <f>J47*$L$3*I$7</f>
        <v>51416.707774929018</v>
      </c>
      <c r="J47" s="31">
        <f t="shared" si="2"/>
        <v>1618.3999768800002</v>
      </c>
      <c r="K47" s="33">
        <f t="shared" si="4"/>
        <v>183631.10108495207</v>
      </c>
      <c r="L47" s="30" t="s">
        <v>91</v>
      </c>
      <c r="M47" s="30" t="s">
        <v>68</v>
      </c>
      <c r="N47" s="34">
        <v>1200796</v>
      </c>
      <c r="O47" s="35">
        <f t="shared" si="5"/>
        <v>0.23516435610911365</v>
      </c>
      <c r="P47" s="36">
        <v>0.26201999999999998</v>
      </c>
    </row>
    <row r="48" spans="1:16" ht="15" x14ac:dyDescent="0.25">
      <c r="A48" s="29">
        <v>70</v>
      </c>
      <c r="B48" s="30" t="s">
        <v>92</v>
      </c>
      <c r="C48" s="31">
        <v>66445</v>
      </c>
      <c r="D48" s="32">
        <v>3.0213850125298012E-2</v>
      </c>
      <c r="E48" s="31">
        <f>F48*$L$3*E$7</f>
        <v>105548.17093767402</v>
      </c>
      <c r="F48" s="31">
        <f t="shared" si="0"/>
        <v>3322.25</v>
      </c>
      <c r="G48" s="31">
        <f>H48*$L$3*G$7</f>
        <v>147767.43931274363</v>
      </c>
      <c r="H48" s="31">
        <f t="shared" si="1"/>
        <v>3986.7</v>
      </c>
      <c r="I48" s="31">
        <f>J48*$L$3*I$7</f>
        <v>98511.624801186816</v>
      </c>
      <c r="J48" s="31">
        <f t="shared" si="2"/>
        <v>3100.7666223700003</v>
      </c>
      <c r="K48" s="33">
        <f t="shared" si="4"/>
        <v>351827.23505160445</v>
      </c>
      <c r="L48" s="30" t="s">
        <v>93</v>
      </c>
      <c r="M48" s="30" t="s">
        <v>68</v>
      </c>
      <c r="N48" s="34">
        <v>1200796</v>
      </c>
      <c r="O48" s="35">
        <f t="shared" si="5"/>
        <v>0.23516435610911365</v>
      </c>
      <c r="P48" s="36">
        <v>0.26201999999999998</v>
      </c>
    </row>
    <row r="49" spans="1:16" ht="15" x14ac:dyDescent="0.25">
      <c r="A49" s="29">
        <v>80</v>
      </c>
      <c r="B49" s="30" t="s">
        <v>94</v>
      </c>
      <c r="C49" s="31">
        <v>33670</v>
      </c>
      <c r="D49" s="32">
        <v>1.5310412126101047E-2</v>
      </c>
      <c r="E49" s="31">
        <f>F49*$L$3*E$7</f>
        <v>53484.941161434035</v>
      </c>
      <c r="F49" s="31">
        <f t="shared" si="0"/>
        <v>1683.5</v>
      </c>
      <c r="G49" s="31">
        <f>H49*$L$3*G$7</f>
        <v>74878.917626007635</v>
      </c>
      <c r="H49" s="31">
        <f t="shared" si="1"/>
        <v>2020.1999999999998</v>
      </c>
      <c r="I49" s="31">
        <f>J49*$L$3*I$7</f>
        <v>49919.277704205888</v>
      </c>
      <c r="J49" s="31">
        <f t="shared" si="2"/>
        <v>1571.26664422</v>
      </c>
      <c r="K49" s="33">
        <f t="shared" si="4"/>
        <v>178283.13649164757</v>
      </c>
      <c r="L49" s="30" t="s">
        <v>95</v>
      </c>
      <c r="M49" s="30" t="s">
        <v>68</v>
      </c>
      <c r="N49" s="34">
        <v>1200796</v>
      </c>
      <c r="O49" s="35">
        <f t="shared" si="5"/>
        <v>0.23516435610911365</v>
      </c>
      <c r="P49" s="36">
        <v>0.26201999999999998</v>
      </c>
    </row>
    <row r="50" spans="1:16" ht="15" x14ac:dyDescent="0.25">
      <c r="A50" s="29">
        <v>84</v>
      </c>
      <c r="B50" s="30" t="s">
        <v>96</v>
      </c>
      <c r="C50" s="31">
        <v>28241</v>
      </c>
      <c r="D50" s="32">
        <v>1.2841738902679527E-2</v>
      </c>
      <c r="E50" s="31">
        <f>F50*$L$3*E$7</f>
        <v>44860.951094150842</v>
      </c>
      <c r="F50" s="31">
        <f t="shared" si="0"/>
        <v>1412.0500000000002</v>
      </c>
      <c r="G50" s="31">
        <f>H50*$L$3*G$7</f>
        <v>62805.331531811164</v>
      </c>
      <c r="H50" s="31">
        <f t="shared" si="1"/>
        <v>1694.46</v>
      </c>
      <c r="I50" s="31">
        <f>J50*$L$3*I$7</f>
        <v>41870.22042306143</v>
      </c>
      <c r="J50" s="31">
        <f t="shared" si="2"/>
        <v>1317.913314506</v>
      </c>
      <c r="K50" s="33">
        <f t="shared" si="4"/>
        <v>149536.50304902345</v>
      </c>
      <c r="L50" s="30" t="s">
        <v>97</v>
      </c>
      <c r="M50" s="30" t="s">
        <v>68</v>
      </c>
      <c r="N50" s="34">
        <v>1200796</v>
      </c>
      <c r="O50" s="35">
        <f t="shared" si="5"/>
        <v>0.23516435610911365</v>
      </c>
      <c r="P50" s="36">
        <v>0.26201999999999998</v>
      </c>
    </row>
    <row r="51" spans="1:16" ht="15" x14ac:dyDescent="0.25">
      <c r="A51" s="29">
        <v>99</v>
      </c>
      <c r="B51" s="30" t="s">
        <v>98</v>
      </c>
      <c r="C51" s="31">
        <v>37289</v>
      </c>
      <c r="D51" s="32">
        <v>1.6956042701817105E-2</v>
      </c>
      <c r="E51" s="31">
        <f>F51*$L$3*E$7</f>
        <v>59233.738371509171</v>
      </c>
      <c r="F51" s="31">
        <f t="shared" si="0"/>
        <v>1864.45</v>
      </c>
      <c r="G51" s="31">
        <f>H51*$L$3*G$7</f>
        <v>82927.233720112825</v>
      </c>
      <c r="H51" s="31">
        <f t="shared" si="1"/>
        <v>2237.3399999999997</v>
      </c>
      <c r="I51" s="31">
        <f>J51*$L$3*I$7</f>
        <v>55284.821690292039</v>
      </c>
      <c r="J51" s="31">
        <f t="shared" si="2"/>
        <v>1740.1533084740001</v>
      </c>
      <c r="K51" s="33">
        <f t="shared" si="4"/>
        <v>197445.79378191405</v>
      </c>
      <c r="L51" s="30" t="s">
        <v>99</v>
      </c>
      <c r="M51" s="30" t="s">
        <v>68</v>
      </c>
      <c r="N51" s="34">
        <v>1200796</v>
      </c>
      <c r="O51" s="35">
        <f t="shared" si="5"/>
        <v>0.23516435610911365</v>
      </c>
      <c r="P51" s="36">
        <v>0.26201999999999998</v>
      </c>
    </row>
    <row r="52" spans="1:16" ht="15" x14ac:dyDescent="0.25">
      <c r="A52" s="29">
        <v>114</v>
      </c>
      <c r="B52" s="30" t="s">
        <v>100</v>
      </c>
      <c r="C52" s="31">
        <v>18347</v>
      </c>
      <c r="D52" s="32">
        <v>8.3427422416862459E-3</v>
      </c>
      <c r="E52" s="31">
        <f>F52*$L$3*E$7</f>
        <v>29144.289144307404</v>
      </c>
      <c r="F52" s="31">
        <f t="shared" si="0"/>
        <v>917.35</v>
      </c>
      <c r="G52" s="31">
        <f>H52*$L$3*G$7</f>
        <v>40802.004802030358</v>
      </c>
      <c r="H52" s="31">
        <f t="shared" si="1"/>
        <v>1100.82</v>
      </c>
      <c r="I52" s="31">
        <f>J52*$L$3*I$7</f>
        <v>27201.336146096386</v>
      </c>
      <c r="J52" s="31">
        <f t="shared" si="2"/>
        <v>856.19332110200003</v>
      </c>
      <c r="K52" s="33">
        <f t="shared" si="4"/>
        <v>97147.630092434149</v>
      </c>
      <c r="L52" s="30" t="s">
        <v>78</v>
      </c>
      <c r="M52" s="30" t="s">
        <v>68</v>
      </c>
      <c r="N52" s="34">
        <v>1200796</v>
      </c>
      <c r="O52" s="35">
        <f t="shared" si="5"/>
        <v>0.23516435610911365</v>
      </c>
      <c r="P52" s="36">
        <v>0.26201999999999998</v>
      </c>
    </row>
    <row r="53" spans="1:16" ht="15" x14ac:dyDescent="0.25">
      <c r="A53" s="29">
        <v>59</v>
      </c>
      <c r="B53" s="30" t="s">
        <v>101</v>
      </c>
      <c r="C53" s="31">
        <v>9464</v>
      </c>
      <c r="D53" s="32">
        <v>4.3034671922013755E-3</v>
      </c>
      <c r="E53" s="31">
        <f>F53*$L$3*E$7</f>
        <v>15033.605083213894</v>
      </c>
      <c r="F53" s="31">
        <f t="shared" si="0"/>
        <v>473.20000000000005</v>
      </c>
      <c r="G53" s="31">
        <f>H53*$L$3*G$7</f>
        <v>21047.047116499445</v>
      </c>
      <c r="H53" s="31">
        <f t="shared" si="1"/>
        <v>567.84</v>
      </c>
      <c r="I53" s="31">
        <f>J53*$L$3*I$7</f>
        <v>14031.364543884898</v>
      </c>
      <c r="J53" s="31">
        <f t="shared" si="2"/>
        <v>441.65332702400002</v>
      </c>
      <c r="K53" s="33">
        <f t="shared" si="4"/>
        <v>50112.016743598237</v>
      </c>
      <c r="L53" s="30" t="s">
        <v>44</v>
      </c>
      <c r="M53" s="30" t="s">
        <v>101</v>
      </c>
      <c r="N53" s="34">
        <v>21685</v>
      </c>
      <c r="O53" s="35">
        <f t="shared" si="5"/>
        <v>4.2467988419566099E-3</v>
      </c>
      <c r="P53" s="36">
        <v>4.3034671922013755E-3</v>
      </c>
    </row>
    <row r="54" spans="1:16" ht="15" x14ac:dyDescent="0.25">
      <c r="A54" s="29">
        <v>60</v>
      </c>
      <c r="B54" s="30" t="s">
        <v>102</v>
      </c>
      <c r="C54" s="31">
        <v>7996</v>
      </c>
      <c r="D54" s="32">
        <v>3.635938680139708E-3</v>
      </c>
      <c r="E54" s="31">
        <f>F54*$L$3*E$7</f>
        <v>12701.680710627459</v>
      </c>
      <c r="F54" s="31">
        <f t="shared" si="0"/>
        <v>399.8</v>
      </c>
      <c r="G54" s="31">
        <f>H54*$L$3*G$7</f>
        <v>17782.352994878442</v>
      </c>
      <c r="H54" s="31">
        <f t="shared" si="1"/>
        <v>479.76</v>
      </c>
      <c r="I54" s="31">
        <f>J54*$L$3*I$7</f>
        <v>11854.901827229885</v>
      </c>
      <c r="J54" s="31">
        <f t="shared" si="2"/>
        <v>373.14666133600002</v>
      </c>
      <c r="K54" s="33">
        <f t="shared" si="4"/>
        <v>42338.935532735784</v>
      </c>
      <c r="L54" s="30" t="s">
        <v>103</v>
      </c>
      <c r="M54" s="30" t="s">
        <v>102</v>
      </c>
      <c r="N54" s="34">
        <v>25654</v>
      </c>
      <c r="O54" s="35">
        <f t="shared" si="5"/>
        <v>5.0240893470857679E-3</v>
      </c>
      <c r="P54" s="36">
        <v>3.635938680139708E-3</v>
      </c>
    </row>
    <row r="55" spans="1:16" ht="15" x14ac:dyDescent="0.25">
      <c r="A55" s="29">
        <v>61</v>
      </c>
      <c r="B55" s="30" t="s">
        <v>104</v>
      </c>
      <c r="C55" s="31">
        <v>6759</v>
      </c>
      <c r="D55" s="32">
        <v>3.0734504175918319E-3</v>
      </c>
      <c r="E55" s="31">
        <f>F55*$L$3*E$7</f>
        <v>10736.70084081178</v>
      </c>
      <c r="F55" s="31">
        <f t="shared" si="0"/>
        <v>337.95000000000005</v>
      </c>
      <c r="G55" s="31">
        <f>H55*$L$3*G$7</f>
        <v>15031.381177136491</v>
      </c>
      <c r="H55" s="31">
        <f t="shared" si="1"/>
        <v>405.53999999999996</v>
      </c>
      <c r="I55" s="31">
        <f>J55*$L$3*I$7</f>
        <v>10020.92064160165</v>
      </c>
      <c r="J55" s="31">
        <f t="shared" si="2"/>
        <v>315.41999549400003</v>
      </c>
      <c r="K55" s="33">
        <f t="shared" si="4"/>
        <v>35789.002659549922</v>
      </c>
      <c r="L55" s="30" t="s">
        <v>105</v>
      </c>
      <c r="M55" s="30" t="s">
        <v>104</v>
      </c>
      <c r="N55" s="34">
        <v>18778</v>
      </c>
      <c r="O55" s="35">
        <f t="shared" si="5"/>
        <v>3.6774908302633722E-3</v>
      </c>
      <c r="P55" s="36">
        <v>3.0734504175918319E-3</v>
      </c>
    </row>
    <row r="56" spans="1:16" ht="15" x14ac:dyDescent="0.25">
      <c r="A56" s="29">
        <v>62</v>
      </c>
      <c r="B56" s="30" t="s">
        <v>106</v>
      </c>
      <c r="C56" s="31">
        <v>16625</v>
      </c>
      <c r="D56" s="32">
        <v>7.5597149271288957E-3</v>
      </c>
      <c r="E56" s="31">
        <f>F56*$L$3*E$7</f>
        <v>26408.884669107239</v>
      </c>
      <c r="F56" s="31">
        <f t="shared" si="0"/>
        <v>831.25</v>
      </c>
      <c r="G56" s="31">
        <f>H56*$L$3*G$7</f>
        <v>36972.438536750138</v>
      </c>
      <c r="H56" s="31">
        <f t="shared" si="1"/>
        <v>997.5</v>
      </c>
      <c r="I56" s="31">
        <f>J56*$L$3*I$7</f>
        <v>24648.29200571496</v>
      </c>
      <c r="J56" s="31">
        <f t="shared" si="2"/>
        <v>775.83332225000004</v>
      </c>
      <c r="K56" s="33">
        <f t="shared" si="4"/>
        <v>88029.615211572338</v>
      </c>
      <c r="L56" s="30" t="s">
        <v>107</v>
      </c>
      <c r="M56" s="30" t="s">
        <v>106</v>
      </c>
      <c r="N56" s="34">
        <v>35277</v>
      </c>
      <c r="O56" s="35">
        <f t="shared" si="5"/>
        <v>6.9086614133135041E-3</v>
      </c>
      <c r="P56" s="36">
        <v>7.5597149271288957E-3</v>
      </c>
    </row>
    <row r="57" spans="1:16" ht="15" x14ac:dyDescent="0.25">
      <c r="A57" s="29">
        <v>43</v>
      </c>
      <c r="B57" s="30" t="s">
        <v>108</v>
      </c>
      <c r="C57" s="31">
        <v>11903</v>
      </c>
      <c r="D57" s="32">
        <v>5.4125285279768565E-3</v>
      </c>
      <c r="E57" s="31">
        <f>F57*$L$3*E$7</f>
        <v>18907.967170910284</v>
      </c>
      <c r="F57" s="31">
        <f t="shared" si="0"/>
        <v>595.15</v>
      </c>
      <c r="G57" s="31">
        <f>H57*$L$3*G$7</f>
        <v>26471.154039274395</v>
      </c>
      <c r="H57" s="31">
        <f t="shared" si="1"/>
        <v>714.18</v>
      </c>
      <c r="I57" s="31">
        <f>J57*$L$3*I$7</f>
        <v>17647.435774076705</v>
      </c>
      <c r="J57" s="31">
        <f t="shared" si="2"/>
        <v>555.47332539800004</v>
      </c>
      <c r="K57" s="33">
        <f t="shared" si="4"/>
        <v>63026.556984261377</v>
      </c>
      <c r="L57" s="30" t="s">
        <v>109</v>
      </c>
      <c r="M57" s="30" t="s">
        <v>110</v>
      </c>
      <c r="N57" s="34">
        <v>44526</v>
      </c>
      <c r="O57" s="35">
        <f t="shared" si="5"/>
        <v>8.7199891739432791E-3</v>
      </c>
      <c r="P57" s="36">
        <v>1.023E-2</v>
      </c>
    </row>
    <row r="58" spans="1:16" ht="15" x14ac:dyDescent="0.25">
      <c r="A58" s="29">
        <v>67</v>
      </c>
      <c r="B58" s="30" t="s">
        <v>110</v>
      </c>
      <c r="C58" s="31">
        <v>10592</v>
      </c>
      <c r="D58" s="32">
        <v>4.8163910080089778E-3</v>
      </c>
      <c r="E58" s="31">
        <f>F58*$L$3*E$7</f>
        <v>16825.437979860686</v>
      </c>
      <c r="F58" s="31">
        <f t="shared" si="0"/>
        <v>529.6</v>
      </c>
      <c r="G58" s="31">
        <f>H58*$L$3*G$7</f>
        <v>23555.613171804958</v>
      </c>
      <c r="H58" s="31">
        <f t="shared" si="1"/>
        <v>635.52</v>
      </c>
      <c r="I58" s="31">
        <f>J58*$L$3*I$7</f>
        <v>15703.741890197467</v>
      </c>
      <c r="J58" s="31">
        <f t="shared" si="2"/>
        <v>494.293326272</v>
      </c>
      <c r="K58" s="33">
        <f t="shared" si="4"/>
        <v>56084.793041863108</v>
      </c>
      <c r="L58" s="30" t="s">
        <v>111</v>
      </c>
      <c r="M58" s="30" t="s">
        <v>110</v>
      </c>
      <c r="N58" s="34">
        <v>44526</v>
      </c>
      <c r="O58" s="35">
        <f t="shared" si="5"/>
        <v>8.7199891739432791E-3</v>
      </c>
      <c r="P58" s="36">
        <v>1.023E-2</v>
      </c>
    </row>
    <row r="59" spans="1:16" ht="15" x14ac:dyDescent="0.25">
      <c r="A59" s="29">
        <v>72</v>
      </c>
      <c r="B59" s="30" t="s">
        <v>112</v>
      </c>
      <c r="C59" s="31">
        <v>6418</v>
      </c>
      <c r="D59" s="32">
        <v>2.9183910016429022E-3</v>
      </c>
      <c r="E59" s="31">
        <f>F59*$L$3*E$7</f>
        <v>10195.020860531145</v>
      </c>
      <c r="F59" s="31">
        <f t="shared" si="0"/>
        <v>320.90000000000003</v>
      </c>
      <c r="G59" s="31">
        <f>H59*$L$3*G$7</f>
        <v>14273.029204743601</v>
      </c>
      <c r="H59" s="31">
        <f t="shared" si="1"/>
        <v>385.08</v>
      </c>
      <c r="I59" s="31">
        <f>J59*$L$3*I$7</f>
        <v>9515.3526672287899</v>
      </c>
      <c r="J59" s="31">
        <f t="shared" si="2"/>
        <v>299.506662388</v>
      </c>
      <c r="K59" s="33">
        <f t="shared" si="4"/>
        <v>33983.402732503535</v>
      </c>
      <c r="L59" s="30" t="s">
        <v>113</v>
      </c>
      <c r="M59" s="30" t="s">
        <v>112</v>
      </c>
      <c r="N59" s="34">
        <v>16949</v>
      </c>
      <c r="O59" s="35">
        <f t="shared" si="5"/>
        <v>3.3192987582348434E-3</v>
      </c>
      <c r="P59" s="36">
        <v>2.9183910016429022E-3</v>
      </c>
    </row>
    <row r="60" spans="1:16" ht="15" x14ac:dyDescent="0.25">
      <c r="A60" s="29">
        <v>18</v>
      </c>
      <c r="B60" s="30" t="s">
        <v>114</v>
      </c>
      <c r="C60" s="31">
        <v>16212</v>
      </c>
      <c r="D60" s="32">
        <v>7.3719156931496936E-3</v>
      </c>
      <c r="E60" s="31">
        <f>F60*$L$3*E$7</f>
        <v>25752.832376274684</v>
      </c>
      <c r="F60" s="31">
        <f t="shared" si="0"/>
        <v>810.6</v>
      </c>
      <c r="G60" s="31">
        <f>H60*$L$3*G$7</f>
        <v>36053.96532678455</v>
      </c>
      <c r="H60" s="31">
        <f t="shared" si="1"/>
        <v>972.71999999999991</v>
      </c>
      <c r="I60" s="31">
        <f>J60*$L$3*I$7</f>
        <v>24035.976541151937</v>
      </c>
      <c r="J60" s="31">
        <f t="shared" si="2"/>
        <v>756.55998919199999</v>
      </c>
      <c r="K60" s="33">
        <f t="shared" si="4"/>
        <v>85842.774244211163</v>
      </c>
      <c r="L60" s="30" t="s">
        <v>115</v>
      </c>
      <c r="M60" s="30" t="s">
        <v>116</v>
      </c>
      <c r="N60" s="34">
        <v>399262</v>
      </c>
      <c r="O60" s="35">
        <f t="shared" si="5"/>
        <v>7.8191625512440854E-2</v>
      </c>
      <c r="P60" s="36">
        <v>0.11955</v>
      </c>
    </row>
    <row r="61" spans="1:16" ht="15" x14ac:dyDescent="0.25">
      <c r="A61" s="29">
        <v>27</v>
      </c>
      <c r="B61" s="30" t="s">
        <v>117</v>
      </c>
      <c r="C61" s="31">
        <v>18788</v>
      </c>
      <c r="D61" s="32">
        <v>8.5432736271216659E-3</v>
      </c>
      <c r="E61" s="31">
        <f>F61*$L$3*E$7</f>
        <v>29844.819558687934</v>
      </c>
      <c r="F61" s="31">
        <f t="shared" si="0"/>
        <v>939.40000000000009</v>
      </c>
      <c r="G61" s="31">
        <f>H61*$L$3*G$7</f>
        <v>41782.747382163099</v>
      </c>
      <c r="H61" s="31">
        <f t="shared" si="1"/>
        <v>1127.28</v>
      </c>
      <c r="I61" s="31">
        <f>J61*$L$3*I$7</f>
        <v>27855.164523511143</v>
      </c>
      <c r="J61" s="31">
        <f t="shared" si="2"/>
        <v>876.77332080799999</v>
      </c>
      <c r="K61" s="33">
        <f t="shared" si="4"/>
        <v>99482.731464362179</v>
      </c>
      <c r="L61" s="30" t="s">
        <v>118</v>
      </c>
      <c r="M61" s="30" t="s">
        <v>116</v>
      </c>
      <c r="N61" s="34">
        <v>399262</v>
      </c>
      <c r="O61" s="35">
        <f t="shared" si="5"/>
        <v>7.8191625512440854E-2</v>
      </c>
      <c r="P61" s="36">
        <v>0.11955</v>
      </c>
    </row>
    <row r="62" spans="1:16" ht="15" x14ac:dyDescent="0.25">
      <c r="A62" s="29">
        <v>38</v>
      </c>
      <c r="B62" s="30" t="s">
        <v>119</v>
      </c>
      <c r="C62" s="31">
        <v>26433</v>
      </c>
      <c r="D62" s="32">
        <v>1.2019605694363795E-2</v>
      </c>
      <c r="E62" s="31">
        <f>F62*$L$3*E$7</f>
        <v>41988.935245624773</v>
      </c>
      <c r="F62" s="31">
        <f t="shared" si="0"/>
        <v>1321.65</v>
      </c>
      <c r="G62" s="31">
        <f>H62*$L$3*G$7</f>
        <v>58784.50934387467</v>
      </c>
      <c r="H62" s="31">
        <f t="shared" si="1"/>
        <v>1585.98</v>
      </c>
      <c r="I62" s="31">
        <f>J62*$L$3*I$7</f>
        <v>39189.672336063973</v>
      </c>
      <c r="J62" s="31">
        <f t="shared" si="2"/>
        <v>1233.5399823780001</v>
      </c>
      <c r="K62" s="33">
        <f t="shared" si="4"/>
        <v>139963.11692556343</v>
      </c>
      <c r="L62" s="30" t="s">
        <v>118</v>
      </c>
      <c r="M62" s="30" t="s">
        <v>116</v>
      </c>
      <c r="N62" s="34">
        <v>399262</v>
      </c>
      <c r="O62" s="35">
        <f t="shared" si="5"/>
        <v>7.8191625512440854E-2</v>
      </c>
      <c r="P62" s="36">
        <v>0.11955</v>
      </c>
    </row>
    <row r="63" spans="1:16" ht="15" x14ac:dyDescent="0.25">
      <c r="A63" s="29">
        <v>41</v>
      </c>
      <c r="B63" s="30" t="s">
        <v>120</v>
      </c>
      <c r="C63" s="31">
        <v>18058</v>
      </c>
      <c r="D63" s="32">
        <v>8.2113282498702915E-3</v>
      </c>
      <c r="E63" s="31">
        <f>F63*$L$3*E$7</f>
        <v>28685.211389758711</v>
      </c>
      <c r="F63" s="31">
        <f t="shared" si="0"/>
        <v>902.90000000000009</v>
      </c>
      <c r="G63" s="31">
        <f>H63*$L$3*G$7</f>
        <v>40159.295945662197</v>
      </c>
      <c r="H63" s="31">
        <f t="shared" si="1"/>
        <v>1083.48</v>
      </c>
      <c r="I63" s="31">
        <f>J63*$L$3*I$7</f>
        <v>26772.863581305312</v>
      </c>
      <c r="J63" s="31">
        <f t="shared" si="2"/>
        <v>842.70665462800002</v>
      </c>
      <c r="K63" s="33">
        <f t="shared" si="4"/>
        <v>95617.370916726213</v>
      </c>
      <c r="L63" s="30" t="s">
        <v>115</v>
      </c>
      <c r="M63" s="30" t="s">
        <v>116</v>
      </c>
      <c r="N63" s="34">
        <v>399262</v>
      </c>
      <c r="O63" s="35">
        <f t="shared" si="5"/>
        <v>7.8191625512440854E-2</v>
      </c>
      <c r="P63" s="36">
        <v>0.11955</v>
      </c>
    </row>
    <row r="64" spans="1:16" ht="15" x14ac:dyDescent="0.25">
      <c r="A64" s="29">
        <v>45</v>
      </c>
      <c r="B64" s="30" t="s">
        <v>121</v>
      </c>
      <c r="C64" s="31">
        <v>20375</v>
      </c>
      <c r="D64" s="32">
        <v>9.2649137828722545E-3</v>
      </c>
      <c r="E64" s="31">
        <f>F64*$L$3*E$7</f>
        <v>32365.775947853235</v>
      </c>
      <c r="F64" s="31">
        <f t="shared" si="0"/>
        <v>1018.75</v>
      </c>
      <c r="G64" s="31">
        <f>H64*$L$3*G$7</f>
        <v>45312.086326994526</v>
      </c>
      <c r="H64" s="31">
        <f t="shared" si="1"/>
        <v>1222.5</v>
      </c>
      <c r="I64" s="31">
        <f>J64*$L$3*I$7</f>
        <v>30208.057119786012</v>
      </c>
      <c r="J64" s="31">
        <f t="shared" si="2"/>
        <v>950.8333197500001</v>
      </c>
      <c r="K64" s="33">
        <f t="shared" si="4"/>
        <v>107885.91939463378</v>
      </c>
      <c r="L64" s="30" t="s">
        <v>122</v>
      </c>
      <c r="M64" s="30" t="s">
        <v>116</v>
      </c>
      <c r="N64" s="34">
        <v>399262</v>
      </c>
      <c r="O64" s="35">
        <f t="shared" si="5"/>
        <v>7.8191625512440854E-2</v>
      </c>
      <c r="P64" s="36">
        <v>0.11955</v>
      </c>
    </row>
    <row r="65" spans="1:16" ht="15" x14ac:dyDescent="0.25">
      <c r="A65" s="29">
        <v>74</v>
      </c>
      <c r="B65" s="30" t="s">
        <v>123</v>
      </c>
      <c r="C65" s="31">
        <v>16046</v>
      </c>
      <c r="D65" s="32">
        <v>7.2964322238021203E-3</v>
      </c>
      <c r="E65" s="31">
        <f>F65*$L$3*E$7</f>
        <v>25489.14065566886</v>
      </c>
      <c r="F65" s="31">
        <f t="shared" si="0"/>
        <v>802.30000000000007</v>
      </c>
      <c r="G65" s="31">
        <f>H65*$L$3*G$7</f>
        <v>35684.796917936401</v>
      </c>
      <c r="H65" s="31">
        <f t="shared" si="1"/>
        <v>962.76</v>
      </c>
      <c r="I65" s="31">
        <f>J65*$L$3*I$7</f>
        <v>23789.864272102397</v>
      </c>
      <c r="J65" s="31">
        <f t="shared" si="2"/>
        <v>748.81332263600007</v>
      </c>
      <c r="K65" s="33">
        <f t="shared" si="4"/>
        <v>84963.801845707654</v>
      </c>
      <c r="L65" s="30" t="s">
        <v>118</v>
      </c>
      <c r="M65" s="30" t="s">
        <v>116</v>
      </c>
      <c r="N65" s="34">
        <v>399262</v>
      </c>
      <c r="O65" s="35">
        <f t="shared" si="5"/>
        <v>7.8191625512440854E-2</v>
      </c>
      <c r="P65" s="36">
        <v>0.11955</v>
      </c>
    </row>
    <row r="66" spans="1:16" ht="15" x14ac:dyDescent="0.25">
      <c r="A66" s="29">
        <v>76</v>
      </c>
      <c r="B66" s="30" t="s">
        <v>124</v>
      </c>
      <c r="C66" s="31">
        <v>22995</v>
      </c>
      <c r="D66" s="32">
        <v>1.0456279383418284E-2</v>
      </c>
      <c r="E66" s="31">
        <f>F66*$L$3*E$7</f>
        <v>36527.657321270439</v>
      </c>
      <c r="F66" s="31">
        <f t="shared" si="0"/>
        <v>1149.75</v>
      </c>
      <c r="G66" s="31">
        <f>H66*$L$3*G$7</f>
        <v>51138.720249778606</v>
      </c>
      <c r="H66" s="31">
        <f t="shared" si="1"/>
        <v>1379.7</v>
      </c>
      <c r="I66" s="31">
        <f>J66*$L$3*I$7</f>
        <v>34092.479679483644</v>
      </c>
      <c r="J66" s="31">
        <f t="shared" si="2"/>
        <v>1073.0999846700001</v>
      </c>
      <c r="K66" s="33">
        <f t="shared" si="4"/>
        <v>121758.85725053269</v>
      </c>
      <c r="L66" s="30" t="s">
        <v>115</v>
      </c>
      <c r="M66" s="30" t="s">
        <v>116</v>
      </c>
      <c r="N66" s="34">
        <v>399262</v>
      </c>
      <c r="O66" s="35">
        <f t="shared" si="5"/>
        <v>7.8191625512440854E-2</v>
      </c>
      <c r="P66" s="36">
        <v>0.11955</v>
      </c>
    </row>
    <row r="67" spans="1:16" ht="15" x14ac:dyDescent="0.25">
      <c r="A67" s="29">
        <v>87</v>
      </c>
      <c r="B67" s="30" t="s">
        <v>125</v>
      </c>
      <c r="C67" s="31">
        <v>36459</v>
      </c>
      <c r="D67" s="32">
        <v>1.657862535507924E-2</v>
      </c>
      <c r="E67" s="31">
        <f>F67*$L$3*E$7</f>
        <v>57915.279768480046</v>
      </c>
      <c r="F67" s="31">
        <f t="shared" si="0"/>
        <v>1822.95</v>
      </c>
      <c r="G67" s="31">
        <f>H67*$L$3*G$7</f>
        <v>81081.391675872073</v>
      </c>
      <c r="H67" s="31">
        <f t="shared" si="1"/>
        <v>2187.54</v>
      </c>
      <c r="I67" s="31">
        <f>J67*$L$3*I$7</f>
        <v>54054.260345044328</v>
      </c>
      <c r="J67" s="31">
        <f t="shared" si="2"/>
        <v>1701.4199756940002</v>
      </c>
      <c r="K67" s="33">
        <f t="shared" si="4"/>
        <v>193050.93178939645</v>
      </c>
      <c r="L67" s="30" t="s">
        <v>122</v>
      </c>
      <c r="M67" s="30" t="s">
        <v>116</v>
      </c>
      <c r="N67" s="34">
        <v>399262</v>
      </c>
      <c r="O67" s="35">
        <f t="shared" si="5"/>
        <v>7.8191625512440854E-2</v>
      </c>
      <c r="P67" s="36">
        <v>0.11955</v>
      </c>
    </row>
    <row r="68" spans="1:16" ht="15" x14ac:dyDescent="0.25">
      <c r="A68" s="29">
        <v>97</v>
      </c>
      <c r="B68" s="30" t="s">
        <v>126</v>
      </c>
      <c r="C68" s="31">
        <v>57847</v>
      </c>
      <c r="D68" s="32">
        <v>2.6304170188849639E-2</v>
      </c>
      <c r="E68" s="31">
        <f>F68*$L$3*E$7</f>
        <v>91890.210613765215</v>
      </c>
      <c r="F68" s="31">
        <f t="shared" si="0"/>
        <v>2892.3500000000004</v>
      </c>
      <c r="G68" s="31">
        <f>H68*$L$3*G$7</f>
        <v>128646.29485927126</v>
      </c>
      <c r="H68" s="31">
        <f t="shared" si="1"/>
        <v>3470.8199999999997</v>
      </c>
      <c r="I68" s="31">
        <f>J68*$L$3*I$7</f>
        <v>85764.195347644723</v>
      </c>
      <c r="J68" s="31">
        <f t="shared" si="2"/>
        <v>2699.5266281020004</v>
      </c>
      <c r="K68" s="33">
        <f t="shared" si="4"/>
        <v>306300.70082068123</v>
      </c>
      <c r="L68" s="30" t="s">
        <v>127</v>
      </c>
      <c r="M68" s="30" t="s">
        <v>116</v>
      </c>
      <c r="N68" s="34">
        <v>399262</v>
      </c>
      <c r="O68" s="35">
        <f t="shared" si="5"/>
        <v>7.8191625512440854E-2</v>
      </c>
      <c r="P68" s="36">
        <v>0.11955</v>
      </c>
    </row>
    <row r="69" spans="1:16" ht="15" x14ac:dyDescent="0.25">
      <c r="A69" s="29">
        <v>101</v>
      </c>
      <c r="B69" s="30" t="s">
        <v>128</v>
      </c>
      <c r="C69" s="31">
        <v>29707</v>
      </c>
      <c r="D69" s="32">
        <v>1.3508357975351463E-2</v>
      </c>
      <c r="E69" s="31">
        <f>F69*$L$3*E$7</f>
        <v>47189.698458055267</v>
      </c>
      <c r="F69" s="31">
        <f t="shared" si="0"/>
        <v>1485.3500000000001</v>
      </c>
      <c r="G69" s="31">
        <f>H69*$L$3*G$7</f>
        <v>66065.577841277365</v>
      </c>
      <c r="H69" s="31">
        <f t="shared" si="1"/>
        <v>1782.4199999999998</v>
      </c>
      <c r="I69" s="31">
        <f>J69*$L$3*I$7</f>
        <v>44043.717931655599</v>
      </c>
      <c r="J69" s="31">
        <f t="shared" si="2"/>
        <v>1386.326646862</v>
      </c>
      <c r="K69" s="33">
        <f t="shared" si="4"/>
        <v>157298.99423098823</v>
      </c>
      <c r="L69" s="30" t="s">
        <v>127</v>
      </c>
      <c r="M69" s="30" t="s">
        <v>116</v>
      </c>
      <c r="N69" s="34">
        <v>399262</v>
      </c>
      <c r="O69" s="35">
        <f t="shared" si="5"/>
        <v>7.8191625512440854E-2</v>
      </c>
      <c r="P69" s="36">
        <v>0.11955</v>
      </c>
    </row>
    <row r="70" spans="1:16" ht="15" x14ac:dyDescent="0.25">
      <c r="A70" s="29">
        <v>104</v>
      </c>
      <c r="B70" s="30" t="s">
        <v>129</v>
      </c>
      <c r="C70" s="31">
        <v>24187</v>
      </c>
      <c r="D70" s="32">
        <v>1.0998305259697239E-2</v>
      </c>
      <c r="E70" s="31">
        <f>F70*$L$3*E$7</f>
        <v>38421.154495741168</v>
      </c>
      <c r="F70" s="31">
        <f t="shared" si="0"/>
        <v>1209.3500000000001</v>
      </c>
      <c r="G70" s="31">
        <f>H70*$L$3*G$7</f>
        <v>53789.616294037623</v>
      </c>
      <c r="H70" s="31">
        <f t="shared" si="1"/>
        <v>1451.22</v>
      </c>
      <c r="I70" s="31">
        <f>J70*$L$3*I$7</f>
        <v>35859.743683743029</v>
      </c>
      <c r="J70" s="31">
        <f t="shared" si="2"/>
        <v>1128.726650542</v>
      </c>
      <c r="K70" s="33">
        <f t="shared" si="4"/>
        <v>128070.51447352182</v>
      </c>
      <c r="L70" s="30" t="s">
        <v>130</v>
      </c>
      <c r="M70" s="30" t="s">
        <v>131</v>
      </c>
      <c r="N70" s="34">
        <v>71637</v>
      </c>
      <c r="O70" s="35">
        <f t="shared" si="5"/>
        <v>1.4029417968238214E-2</v>
      </c>
      <c r="P70" s="36">
        <v>1.0998305259697239E-2</v>
      </c>
    </row>
    <row r="71" spans="1:16" ht="15" x14ac:dyDescent="0.25">
      <c r="A71" s="29">
        <v>34</v>
      </c>
      <c r="B71" s="30" t="s">
        <v>132</v>
      </c>
      <c r="C71" s="31">
        <v>2739</v>
      </c>
      <c r="D71" s="32">
        <v>1.24547724423495E-3</v>
      </c>
      <c r="E71" s="31">
        <f>F71*$L$3*E$7</f>
        <v>4350.9133899960743</v>
      </c>
      <c r="F71" s="31">
        <f t="shared" si="0"/>
        <v>136.95000000000002</v>
      </c>
      <c r="G71" s="31">
        <f>H71*$L$3*G$7</f>
        <v>6091.2787459945039</v>
      </c>
      <c r="H71" s="31">
        <f t="shared" si="1"/>
        <v>164.34</v>
      </c>
      <c r="I71" s="31">
        <f>J71*$L$3*I$7</f>
        <v>4060.8524393174903</v>
      </c>
      <c r="J71" s="31">
        <f t="shared" si="2"/>
        <v>127.81999817400001</v>
      </c>
      <c r="K71" s="33">
        <f t="shared" si="4"/>
        <v>14503.044575308069</v>
      </c>
      <c r="L71" s="30" t="s">
        <v>133</v>
      </c>
      <c r="M71" s="30" t="s">
        <v>134</v>
      </c>
      <c r="N71" s="37" t="s">
        <v>65</v>
      </c>
      <c r="O71" s="35"/>
      <c r="P71" s="36">
        <v>1.24547724423495E-3</v>
      </c>
    </row>
    <row r="72" spans="1:16" ht="15" x14ac:dyDescent="0.25">
      <c r="A72" s="29">
        <v>29</v>
      </c>
      <c r="B72" s="30" t="s">
        <v>135</v>
      </c>
      <c r="C72" s="31">
        <v>16556</v>
      </c>
      <c r="D72" s="32">
        <v>7.528339268183218E-3</v>
      </c>
      <c r="E72" s="31">
        <f>F72*$L$3*E$7</f>
        <v>26299.277869578316</v>
      </c>
      <c r="F72" s="31">
        <f t="shared" ref="F72:F126" si="6">($C72*F$7)</f>
        <v>827.80000000000007</v>
      </c>
      <c r="G72" s="31">
        <f>H72*$L$3*G$7</f>
        <v>36818.989017409636</v>
      </c>
      <c r="H72" s="31">
        <f t="shared" ref="H72:H126" si="7">($C72*H$7)</f>
        <v>993.36</v>
      </c>
      <c r="I72" s="31">
        <f>J72*$L$3*I$7</f>
        <v>24545.992327616059</v>
      </c>
      <c r="J72" s="31">
        <f t="shared" ref="J72:J126" si="8">($C72*J$7)</f>
        <v>772.61332229600009</v>
      </c>
      <c r="K72" s="33">
        <f t="shared" si="4"/>
        <v>87664.259214604012</v>
      </c>
      <c r="L72" s="30" t="s">
        <v>136</v>
      </c>
      <c r="M72" s="30" t="s">
        <v>137</v>
      </c>
      <c r="N72" s="34">
        <v>378406</v>
      </c>
      <c r="O72" s="35">
        <f t="shared" ref="O72:O113" si="9">SUM(N72/$N$8)</f>
        <v>7.4107178353213413E-2</v>
      </c>
      <c r="P72" s="36">
        <v>4.9070000000000003E-2</v>
      </c>
    </row>
    <row r="73" spans="1:16" ht="15" x14ac:dyDescent="0.25">
      <c r="A73" s="29">
        <v>69</v>
      </c>
      <c r="B73" s="30" t="s">
        <v>138</v>
      </c>
      <c r="C73" s="31">
        <v>15460</v>
      </c>
      <c r="D73" s="32">
        <v>7.0299664826112915E-3</v>
      </c>
      <c r="E73" s="31">
        <f>F73*$L$3*E$7</f>
        <v>24558.277111843483</v>
      </c>
      <c r="F73" s="31">
        <f t="shared" si="6"/>
        <v>773</v>
      </c>
      <c r="G73" s="31">
        <f>H73*$L$3*G$7</f>
        <v>34381.587956580872</v>
      </c>
      <c r="H73" s="31">
        <f t="shared" si="7"/>
        <v>927.59999999999991</v>
      </c>
      <c r="I73" s="31">
        <f>J73*$L$3*I$7</f>
        <v>22921.058310276891</v>
      </c>
      <c r="J73" s="31">
        <f t="shared" si="8"/>
        <v>721.46665636</v>
      </c>
      <c r="K73" s="33">
        <f t="shared" si="4"/>
        <v>81860.923378701249</v>
      </c>
      <c r="L73" s="30" t="s">
        <v>139</v>
      </c>
      <c r="M73" s="30" t="s">
        <v>137</v>
      </c>
      <c r="N73" s="34">
        <v>378406</v>
      </c>
      <c r="O73" s="35">
        <f t="shared" si="9"/>
        <v>7.4107178353213413E-2</v>
      </c>
      <c r="P73" s="36">
        <v>4.9070000000000003E-2</v>
      </c>
    </row>
    <row r="74" spans="1:16" ht="15" x14ac:dyDescent="0.25">
      <c r="A74" s="29">
        <v>71</v>
      </c>
      <c r="B74" s="30" t="s">
        <v>140</v>
      </c>
      <c r="C74" s="31">
        <v>24319</v>
      </c>
      <c r="D74" s="32">
        <v>1.1058328259419405E-2</v>
      </c>
      <c r="E74" s="31">
        <f>F74*$L$3*E$7</f>
        <v>38630.837068753026</v>
      </c>
      <c r="F74" s="31">
        <f t="shared" si="6"/>
        <v>1215.95</v>
      </c>
      <c r="G74" s="31">
        <f>H74*$L$3*G$7</f>
        <v>54083.171896254222</v>
      </c>
      <c r="H74" s="31">
        <f t="shared" si="7"/>
        <v>1459.1399999999999</v>
      </c>
      <c r="I74" s="31">
        <f>J74*$L$3*I$7</f>
        <v>36055.447415758332</v>
      </c>
      <c r="J74" s="31">
        <f t="shared" si="8"/>
        <v>1134.8866504540001</v>
      </c>
      <c r="K74" s="33">
        <f t="shared" ref="K74:K126" si="10">E74+G74+I74</f>
        <v>128769.45638076558</v>
      </c>
      <c r="L74" s="30" t="s">
        <v>141</v>
      </c>
      <c r="M74" s="30" t="s">
        <v>137</v>
      </c>
      <c r="N74" s="34">
        <v>378406</v>
      </c>
      <c r="O74" s="35">
        <f t="shared" si="9"/>
        <v>7.4107178353213413E-2</v>
      </c>
      <c r="P74" s="36">
        <v>4.9070000000000003E-2</v>
      </c>
    </row>
    <row r="75" spans="1:16" ht="15" x14ac:dyDescent="0.25">
      <c r="A75" s="29">
        <v>73</v>
      </c>
      <c r="B75" s="30" t="s">
        <v>142</v>
      </c>
      <c r="C75" s="31">
        <v>15897</v>
      </c>
      <c r="D75" s="32">
        <v>7.2286789892672511E-3</v>
      </c>
      <c r="E75" s="31">
        <f>F75*$L$3*E$7</f>
        <v>25252.453508860017</v>
      </c>
      <c r="F75" s="31">
        <f t="shared" si="6"/>
        <v>794.85</v>
      </c>
      <c r="G75" s="31">
        <f>H75*$L$3*G$7</f>
        <v>35353.434912404024</v>
      </c>
      <c r="H75" s="31">
        <f t="shared" si="7"/>
        <v>953.81999999999994</v>
      </c>
      <c r="I75" s="31">
        <f>J75*$L$3*I$7</f>
        <v>23568.956271569969</v>
      </c>
      <c r="J75" s="31">
        <f t="shared" si="8"/>
        <v>741.859989402</v>
      </c>
      <c r="K75" s="33">
        <f t="shared" si="10"/>
        <v>84174.844692834013</v>
      </c>
      <c r="L75" s="30" t="s">
        <v>139</v>
      </c>
      <c r="M75" s="30" t="s">
        <v>137</v>
      </c>
      <c r="N75" s="34">
        <v>378406</v>
      </c>
      <c r="O75" s="35">
        <f t="shared" si="9"/>
        <v>7.4107178353213413E-2</v>
      </c>
      <c r="P75" s="36">
        <v>4.9070000000000003E-2</v>
      </c>
    </row>
    <row r="76" spans="1:16" ht="15" x14ac:dyDescent="0.25">
      <c r="A76" s="29">
        <v>78</v>
      </c>
      <c r="B76" s="30" t="s">
        <v>143</v>
      </c>
      <c r="C76" s="31">
        <v>6472</v>
      </c>
      <c r="D76" s="32">
        <v>2.9429458651656069E-3</v>
      </c>
      <c r="E76" s="31">
        <f>F76*$L$3*E$7</f>
        <v>10280.800094945087</v>
      </c>
      <c r="F76" s="31">
        <f t="shared" si="6"/>
        <v>323.60000000000002</v>
      </c>
      <c r="G76" s="31">
        <f>H76*$L$3*G$7</f>
        <v>14393.120132923121</v>
      </c>
      <c r="H76" s="31">
        <f t="shared" si="7"/>
        <v>388.32</v>
      </c>
      <c r="I76" s="31">
        <f>J76*$L$3*I$7</f>
        <v>9595.4132848714125</v>
      </c>
      <c r="J76" s="31">
        <f t="shared" si="8"/>
        <v>302.02666235200002</v>
      </c>
      <c r="K76" s="33">
        <f t="shared" si="10"/>
        <v>34269.33351273962</v>
      </c>
      <c r="L76" s="30" t="s">
        <v>144</v>
      </c>
      <c r="M76" s="30" t="s">
        <v>137</v>
      </c>
      <c r="N76" s="34">
        <v>378406</v>
      </c>
      <c r="O76" s="35">
        <f t="shared" si="9"/>
        <v>7.4107178353213413E-2</v>
      </c>
      <c r="P76" s="36">
        <v>4.9070000000000003E-2</v>
      </c>
    </row>
    <row r="77" spans="1:16" ht="15" x14ac:dyDescent="0.25">
      <c r="A77" s="29">
        <v>85</v>
      </c>
      <c r="B77" s="30" t="s">
        <v>137</v>
      </c>
      <c r="C77" s="31">
        <v>29205</v>
      </c>
      <c r="D77" s="32">
        <v>1.3280088688529288E-2</v>
      </c>
      <c r="E77" s="31">
        <f>F77*$L$3*E$7</f>
        <v>46392.269278873806</v>
      </c>
      <c r="F77" s="31">
        <f t="shared" si="6"/>
        <v>1460.25</v>
      </c>
      <c r="G77" s="31">
        <f>H77*$L$3*G$7</f>
        <v>64949.176990423322</v>
      </c>
      <c r="H77" s="31">
        <f t="shared" si="7"/>
        <v>1752.3</v>
      </c>
      <c r="I77" s="31">
        <f>J77*$L$3*I$7</f>
        <v>43299.450708385295</v>
      </c>
      <c r="J77" s="31">
        <f t="shared" si="8"/>
        <v>1362.89998053</v>
      </c>
      <c r="K77" s="33">
        <f t="shared" si="10"/>
        <v>154640.89697768242</v>
      </c>
      <c r="L77" s="30" t="s">
        <v>139</v>
      </c>
      <c r="M77" s="30" t="s">
        <v>137</v>
      </c>
      <c r="N77" s="34">
        <v>378406</v>
      </c>
      <c r="O77" s="35">
        <f t="shared" si="9"/>
        <v>7.4107178353213413E-2</v>
      </c>
      <c r="P77" s="36">
        <v>4.9070000000000003E-2</v>
      </c>
    </row>
    <row r="78" spans="1:16" ht="15" x14ac:dyDescent="0.25">
      <c r="A78" s="29">
        <v>3</v>
      </c>
      <c r="B78" s="30" t="s">
        <v>145</v>
      </c>
      <c r="C78" s="31">
        <v>42226</v>
      </c>
      <c r="D78" s="32">
        <v>1.92009938353651E-2</v>
      </c>
      <c r="E78" s="31">
        <f>F78*$L$3*E$7</f>
        <v>67076.184303020898</v>
      </c>
      <c r="F78" s="31">
        <f t="shared" si="6"/>
        <v>2111.3000000000002</v>
      </c>
      <c r="G78" s="31">
        <f>H78*$L$3*G$7</f>
        <v>93906.658024229255</v>
      </c>
      <c r="H78" s="31">
        <f t="shared" si="7"/>
        <v>2533.56</v>
      </c>
      <c r="I78" s="31">
        <f>J78*$L$3*I$7</f>
        <v>62604.437788470372</v>
      </c>
      <c r="J78" s="31">
        <f t="shared" si="8"/>
        <v>1970.546638516</v>
      </c>
      <c r="K78" s="33">
        <f t="shared" si="10"/>
        <v>223587.28011572052</v>
      </c>
      <c r="L78" s="30" t="s">
        <v>146</v>
      </c>
      <c r="M78" s="30" t="s">
        <v>147</v>
      </c>
      <c r="N78" s="34">
        <v>257597</v>
      </c>
      <c r="O78" s="35">
        <f t="shared" si="9"/>
        <v>5.0447896762347101E-2</v>
      </c>
      <c r="P78" s="36">
        <v>4.7800000000000002E-2</v>
      </c>
    </row>
    <row r="79" spans="1:16" ht="15" x14ac:dyDescent="0.25">
      <c r="A79" s="29">
        <v>23</v>
      </c>
      <c r="B79" s="30" t="s">
        <v>148</v>
      </c>
      <c r="C79" s="31">
        <v>20682</v>
      </c>
      <c r="D79" s="32">
        <v>9.4045127291957787E-3</v>
      </c>
      <c r="E79" s="31">
        <f>F79*$L$3*E$7</f>
        <v>32853.446780539911</v>
      </c>
      <c r="F79" s="31">
        <f t="shared" si="6"/>
        <v>1034.1000000000001</v>
      </c>
      <c r="G79" s="31">
        <f>H79*$L$3*G$7</f>
        <v>45994.825492755866</v>
      </c>
      <c r="H79" s="31">
        <f t="shared" si="7"/>
        <v>1240.9199999999998</v>
      </c>
      <c r="I79" s="31">
        <f>J79*$L$3*I$7</f>
        <v>30663.216557124622</v>
      </c>
      <c r="J79" s="31">
        <f t="shared" si="8"/>
        <v>965.15998621200004</v>
      </c>
      <c r="K79" s="33">
        <f t="shared" si="10"/>
        <v>109511.48883042039</v>
      </c>
      <c r="L79" s="30" t="s">
        <v>146</v>
      </c>
      <c r="M79" s="30" t="s">
        <v>147</v>
      </c>
      <c r="N79" s="34">
        <v>257597</v>
      </c>
      <c r="O79" s="35">
        <f t="shared" si="9"/>
        <v>5.0447896762347101E-2</v>
      </c>
      <c r="P79" s="36">
        <v>4.7800000000000002E-2</v>
      </c>
    </row>
    <row r="80" spans="1:16" ht="15" x14ac:dyDescent="0.25">
      <c r="A80" s="29">
        <v>35</v>
      </c>
      <c r="B80" s="30" t="s">
        <v>149</v>
      </c>
      <c r="C80" s="31">
        <v>14208</v>
      </c>
      <c r="D80" s="32">
        <v>6.4606574246404425E-3</v>
      </c>
      <c r="E80" s="31">
        <f>F80*$L$3*E$7</f>
        <v>22569.469676912824</v>
      </c>
      <c r="F80" s="31">
        <f t="shared" si="6"/>
        <v>710.40000000000009</v>
      </c>
      <c r="G80" s="31">
        <f>H80*$L$3*G$7</f>
        <v>31597.257547677953</v>
      </c>
      <c r="H80" s="31">
        <f t="shared" si="7"/>
        <v>852.48</v>
      </c>
      <c r="I80" s="31">
        <f>J80*$L$3*I$7</f>
        <v>21064.838064192376</v>
      </c>
      <c r="J80" s="31">
        <f t="shared" si="8"/>
        <v>663.03999052800009</v>
      </c>
      <c r="K80" s="33">
        <f t="shared" si="10"/>
        <v>75231.565288783153</v>
      </c>
      <c r="L80" s="30" t="s">
        <v>146</v>
      </c>
      <c r="M80" s="30" t="s">
        <v>147</v>
      </c>
      <c r="N80" s="34">
        <v>257597</v>
      </c>
      <c r="O80" s="35">
        <f t="shared" si="9"/>
        <v>5.0447896762347101E-2</v>
      </c>
      <c r="P80" s="36">
        <v>4.7800000000000002E-2</v>
      </c>
    </row>
    <row r="81" spans="1:16" ht="15" x14ac:dyDescent="0.25">
      <c r="A81" s="29">
        <v>86</v>
      </c>
      <c r="B81" s="30" t="s">
        <v>150</v>
      </c>
      <c r="C81" s="31">
        <v>28012</v>
      </c>
      <c r="D81" s="32">
        <v>1.2737608092555466E-2</v>
      </c>
      <c r="E81" s="31">
        <f>F81*$L$3*E$7</f>
        <v>44497.183600062082</v>
      </c>
      <c r="F81" s="31">
        <f t="shared" si="6"/>
        <v>1400.6000000000001</v>
      </c>
      <c r="G81" s="31">
        <f>H81*$L$3*G$7</f>
        <v>62296.057040086911</v>
      </c>
      <c r="H81" s="31">
        <f t="shared" si="7"/>
        <v>1680.72</v>
      </c>
      <c r="I81" s="31">
        <f>J81*$L$3*I$7</f>
        <v>41530.704100095492</v>
      </c>
      <c r="J81" s="31">
        <f t="shared" si="8"/>
        <v>1307.2266479920002</v>
      </c>
      <c r="K81" s="33">
        <f t="shared" si="10"/>
        <v>148323.94474024448</v>
      </c>
      <c r="L81" s="30" t="s">
        <v>146</v>
      </c>
      <c r="M81" s="30" t="s">
        <v>147</v>
      </c>
      <c r="N81" s="34">
        <v>257597</v>
      </c>
      <c r="O81" s="35">
        <f t="shared" si="9"/>
        <v>5.0447896762347101E-2</v>
      </c>
      <c r="P81" s="36">
        <v>4.7800000000000002E-2</v>
      </c>
    </row>
    <row r="82" spans="1:16" ht="15" x14ac:dyDescent="0.25">
      <c r="A82" s="29">
        <v>6</v>
      </c>
      <c r="B82" s="30" t="s">
        <v>151</v>
      </c>
      <c r="C82" s="31">
        <v>5274</v>
      </c>
      <c r="D82" s="32">
        <v>2.3981916707174616E-3</v>
      </c>
      <c r="E82" s="31">
        <f>F82*$L$3*E$7</f>
        <v>8377.7718944283661</v>
      </c>
      <c r="F82" s="31">
        <f t="shared" si="6"/>
        <v>263.7</v>
      </c>
      <c r="G82" s="31">
        <f>H82*$L$3*G$7</f>
        <v>11728.880652199712</v>
      </c>
      <c r="H82" s="31">
        <f t="shared" si="7"/>
        <v>316.44</v>
      </c>
      <c r="I82" s="31">
        <f>J82*$L$3*I$7</f>
        <v>7819.2536564295169</v>
      </c>
      <c r="J82" s="31">
        <f t="shared" si="8"/>
        <v>246.11999648400001</v>
      </c>
      <c r="K82" s="33">
        <f t="shared" si="10"/>
        <v>27925.906203057595</v>
      </c>
      <c r="L82" s="30" t="s">
        <v>152</v>
      </c>
      <c r="M82" s="30" t="s">
        <v>153</v>
      </c>
      <c r="N82" s="34">
        <v>311528</v>
      </c>
      <c r="O82" s="35">
        <f t="shared" si="9"/>
        <v>6.1009764797650856E-2</v>
      </c>
      <c r="P82" s="36">
        <v>2.3981916707174616E-3</v>
      </c>
    </row>
    <row r="83" spans="1:16" ht="15" x14ac:dyDescent="0.25">
      <c r="A83" s="29">
        <v>15</v>
      </c>
      <c r="B83" s="30" t="s">
        <v>154</v>
      </c>
      <c r="C83" s="31">
        <v>30505</v>
      </c>
      <c r="D83" s="32">
        <v>1.3871224291853652E-2</v>
      </c>
      <c r="E83" s="31">
        <f>F83*$L$3*E$7</f>
        <v>48457.324922172411</v>
      </c>
      <c r="F83" s="31">
        <f t="shared" si="6"/>
        <v>1525.25</v>
      </c>
      <c r="G83" s="31">
        <f>H83*$L$3*G$7</f>
        <v>67840.254891041375</v>
      </c>
      <c r="H83" s="31">
        <f t="shared" si="7"/>
        <v>1830.3</v>
      </c>
      <c r="I83" s="31">
        <f>J83*$L$3*I$7</f>
        <v>45226.835947929925</v>
      </c>
      <c r="J83" s="31">
        <f t="shared" si="8"/>
        <v>1423.5666463300001</v>
      </c>
      <c r="K83" s="33">
        <f t="shared" si="10"/>
        <v>161524.41576114373</v>
      </c>
      <c r="L83" s="30" t="s">
        <v>155</v>
      </c>
      <c r="M83" s="30" t="s">
        <v>153</v>
      </c>
      <c r="N83" s="34">
        <v>311528</v>
      </c>
      <c r="O83" s="35">
        <f t="shared" si="9"/>
        <v>6.1009764797650856E-2</v>
      </c>
      <c r="P83" s="36">
        <v>1.3871224291853652E-2</v>
      </c>
    </row>
    <row r="84" spans="1:16" ht="15" x14ac:dyDescent="0.25">
      <c r="A84" s="29">
        <v>22</v>
      </c>
      <c r="B84" s="30" t="s">
        <v>156</v>
      </c>
      <c r="C84" s="31">
        <v>2278</v>
      </c>
      <c r="D84" s="32">
        <v>1.035851464902233E-3</v>
      </c>
      <c r="E84" s="31">
        <f>F84*$L$3*E$7</f>
        <v>3618.612888795567</v>
      </c>
      <c r="F84" s="31">
        <f t="shared" si="6"/>
        <v>113.9</v>
      </c>
      <c r="G84" s="31">
        <f>H84*$L$3*G$7</f>
        <v>5066.0580443137933</v>
      </c>
      <c r="H84" s="31">
        <f t="shared" si="7"/>
        <v>136.68</v>
      </c>
      <c r="I84" s="31">
        <f>J84*$L$3*I$7</f>
        <v>3377.3719812943573</v>
      </c>
      <c r="J84" s="31">
        <f t="shared" si="8"/>
        <v>106.30666514800001</v>
      </c>
      <c r="K84" s="33">
        <f t="shared" si="10"/>
        <v>12062.042914403719</v>
      </c>
      <c r="L84" s="30" t="s">
        <v>157</v>
      </c>
      <c r="M84" s="30" t="s">
        <v>153</v>
      </c>
      <c r="N84" s="34">
        <v>311528</v>
      </c>
      <c r="O84" s="35">
        <f t="shared" si="9"/>
        <v>6.1009764797650856E-2</v>
      </c>
      <c r="P84" s="36">
        <v>1.035851464902233E-3</v>
      </c>
    </row>
    <row r="85" spans="1:16" ht="15" x14ac:dyDescent="0.25">
      <c r="A85" s="29">
        <v>24</v>
      </c>
      <c r="B85" s="30" t="s">
        <v>158</v>
      </c>
      <c r="C85" s="31">
        <v>7609</v>
      </c>
      <c r="D85" s="32">
        <v>3.4599621582269936E-3</v>
      </c>
      <c r="E85" s="31">
        <f>F85*$L$3*E$7</f>
        <v>12086.929530660873</v>
      </c>
      <c r="F85" s="31">
        <f t="shared" si="6"/>
        <v>380.45000000000005</v>
      </c>
      <c r="G85" s="31">
        <f>H85*$L$3*G$7</f>
        <v>16921.701342925218</v>
      </c>
      <c r="H85" s="31">
        <f t="shared" si="7"/>
        <v>456.53999999999996</v>
      </c>
      <c r="I85" s="31">
        <f>J85*$L$3*I$7</f>
        <v>11281.134067457753</v>
      </c>
      <c r="J85" s="31">
        <f t="shared" si="8"/>
        <v>355.08666159400002</v>
      </c>
      <c r="K85" s="33">
        <f t="shared" si="10"/>
        <v>40289.764941043846</v>
      </c>
      <c r="L85" s="30" t="s">
        <v>159</v>
      </c>
      <c r="M85" s="30" t="s">
        <v>153</v>
      </c>
      <c r="N85" s="34">
        <v>311528</v>
      </c>
      <c r="O85" s="35">
        <f t="shared" si="9"/>
        <v>6.1009764797650856E-2</v>
      </c>
      <c r="P85" s="36">
        <v>3.4599621582269936E-3</v>
      </c>
    </row>
    <row r="86" spans="1:16" ht="15" x14ac:dyDescent="0.25">
      <c r="A86" s="29">
        <v>88</v>
      </c>
      <c r="B86" s="30" t="s">
        <v>153</v>
      </c>
      <c r="C86" s="31">
        <v>16682</v>
      </c>
      <c r="D86" s="32">
        <v>7.5856339497361947E-3</v>
      </c>
      <c r="E86" s="31">
        <f>F86*$L$3*E$7</f>
        <v>26499.429416544179</v>
      </c>
      <c r="F86" s="31">
        <f t="shared" si="6"/>
        <v>834.1</v>
      </c>
      <c r="G86" s="31">
        <f>H86*$L$3*G$7</f>
        <v>37099.201183161851</v>
      </c>
      <c r="H86" s="31">
        <f t="shared" si="7"/>
        <v>1000.92</v>
      </c>
      <c r="I86" s="31">
        <f>J86*$L$3*I$7</f>
        <v>24732.800435448844</v>
      </c>
      <c r="J86" s="31">
        <f t="shared" si="8"/>
        <v>778.49332221200007</v>
      </c>
      <c r="K86" s="33">
        <f t="shared" si="10"/>
        <v>88331.431035154877</v>
      </c>
      <c r="L86" s="30" t="s">
        <v>159</v>
      </c>
      <c r="M86" s="30" t="s">
        <v>153</v>
      </c>
      <c r="N86" s="34">
        <v>311528</v>
      </c>
      <c r="O86" s="35">
        <f t="shared" si="9"/>
        <v>6.1009764797650856E-2</v>
      </c>
      <c r="P86" s="36">
        <v>7.5856339497361947E-3</v>
      </c>
    </row>
    <row r="87" spans="1:16" ht="15" x14ac:dyDescent="0.25">
      <c r="A87" s="29">
        <v>111</v>
      </c>
      <c r="B87" s="30" t="s">
        <v>160</v>
      </c>
      <c r="C87" s="31">
        <v>18646</v>
      </c>
      <c r="D87" s="32">
        <v>8.4787034304508509E-3</v>
      </c>
      <c r="E87" s="31">
        <f>F87*$L$3*E$7</f>
        <v>29619.251942266084</v>
      </c>
      <c r="F87" s="31">
        <f t="shared" si="6"/>
        <v>932.30000000000007</v>
      </c>
      <c r="G87" s="31">
        <f>H87*$L$3*G$7</f>
        <v>41466.952719172514</v>
      </c>
      <c r="H87" s="31">
        <f t="shared" si="7"/>
        <v>1118.76</v>
      </c>
      <c r="I87" s="31">
        <f>J87*$L$3*I$7</f>
        <v>27644.634751191647</v>
      </c>
      <c r="J87" s="31">
        <f t="shared" si="8"/>
        <v>870.14665423600002</v>
      </c>
      <c r="K87" s="33">
        <f t="shared" si="10"/>
        <v>98730.839412630245</v>
      </c>
      <c r="L87" s="30" t="s">
        <v>161</v>
      </c>
      <c r="M87" s="30" t="s">
        <v>153</v>
      </c>
      <c r="N87" s="34">
        <v>311528</v>
      </c>
      <c r="O87" s="35">
        <f t="shared" si="9"/>
        <v>6.1009764797650856E-2</v>
      </c>
      <c r="P87" s="36">
        <v>8.4787034304508509E-3</v>
      </c>
    </row>
    <row r="88" spans="1:16" ht="15" x14ac:dyDescent="0.25">
      <c r="A88" s="29">
        <v>26</v>
      </c>
      <c r="B88" s="30" t="s">
        <v>162</v>
      </c>
      <c r="C88" s="31">
        <v>12863</v>
      </c>
      <c r="D88" s="32">
        <v>5.8490594350471565E-3</v>
      </c>
      <c r="E88" s="31">
        <f>F88*$L$3*E$7</f>
        <v>20432.931338269264</v>
      </c>
      <c r="F88" s="31">
        <f t="shared" si="6"/>
        <v>643.15000000000009</v>
      </c>
      <c r="G88" s="31">
        <f>H88*$L$3*G$7</f>
        <v>28606.103873576962</v>
      </c>
      <c r="H88" s="31">
        <f t="shared" si="7"/>
        <v>771.78</v>
      </c>
      <c r="I88" s="31">
        <f>J88*$L$3*I$7</f>
        <v>19070.735643278891</v>
      </c>
      <c r="J88" s="31">
        <f t="shared" si="8"/>
        <v>600.27332475800006</v>
      </c>
      <c r="K88" s="33">
        <f t="shared" si="10"/>
        <v>68109.770855125113</v>
      </c>
      <c r="L88" s="30" t="s">
        <v>163</v>
      </c>
      <c r="M88" s="30" t="s">
        <v>164</v>
      </c>
      <c r="N88" s="34">
        <v>468583</v>
      </c>
      <c r="O88" s="35">
        <f t="shared" si="9"/>
        <v>9.1767477139061762E-2</v>
      </c>
      <c r="P88" s="36">
        <v>8.9849999999999999E-2</v>
      </c>
    </row>
    <row r="89" spans="1:16" ht="15" x14ac:dyDescent="0.25">
      <c r="A89" s="29">
        <v>42</v>
      </c>
      <c r="B89" s="30" t="s">
        <v>165</v>
      </c>
      <c r="C89" s="31">
        <v>18720</v>
      </c>
      <c r="D89" s="32">
        <v>8.5123526878708514E-3</v>
      </c>
      <c r="E89" s="31">
        <f>F89*$L$3*E$7</f>
        <v>29736.801263500001</v>
      </c>
      <c r="F89" s="31">
        <f t="shared" si="6"/>
        <v>936</v>
      </c>
      <c r="G89" s="31">
        <f>H89*$L$3*G$7</f>
        <v>41631.521768900006</v>
      </c>
      <c r="H89" s="31">
        <f t="shared" si="7"/>
        <v>1123.2</v>
      </c>
      <c r="I89" s="31">
        <f>J89*$L$3*I$7</f>
        <v>27754.347449442655</v>
      </c>
      <c r="J89" s="31">
        <f t="shared" si="8"/>
        <v>873.59998752000001</v>
      </c>
      <c r="K89" s="33">
        <f t="shared" si="10"/>
        <v>99122.670481842651</v>
      </c>
      <c r="L89" s="30" t="s">
        <v>163</v>
      </c>
      <c r="M89" s="30" t="s">
        <v>164</v>
      </c>
      <c r="N89" s="34">
        <v>468583</v>
      </c>
      <c r="O89" s="35">
        <f t="shared" si="9"/>
        <v>9.1767477139061762E-2</v>
      </c>
      <c r="P89" s="36">
        <v>8.9849999999999999E-2</v>
      </c>
    </row>
    <row r="90" spans="1:16" ht="15" x14ac:dyDescent="0.25">
      <c r="A90" s="29">
        <v>64</v>
      </c>
      <c r="B90" s="30" t="s">
        <v>166</v>
      </c>
      <c r="C90" s="31">
        <v>20240</v>
      </c>
      <c r="D90" s="32">
        <v>9.2035266240654938E-3</v>
      </c>
      <c r="E90" s="31">
        <f>F90*$L$3*E$7</f>
        <v>32151.327861818379</v>
      </c>
      <c r="F90" s="31">
        <f t="shared" si="6"/>
        <v>1012</v>
      </c>
      <c r="G90" s="31">
        <f>H90*$L$3*G$7</f>
        <v>45011.859006545725</v>
      </c>
      <c r="H90" s="31">
        <f t="shared" si="7"/>
        <v>1214.3999999999999</v>
      </c>
      <c r="I90" s="31">
        <f>J90*$L$3*I$7</f>
        <v>30007.905575679451</v>
      </c>
      <c r="J90" s="31">
        <f t="shared" si="8"/>
        <v>944.5333198400001</v>
      </c>
      <c r="K90" s="33">
        <f t="shared" si="10"/>
        <v>107171.09244404356</v>
      </c>
      <c r="L90" s="30" t="s">
        <v>167</v>
      </c>
      <c r="M90" s="30" t="s">
        <v>164</v>
      </c>
      <c r="N90" s="34">
        <v>468583</v>
      </c>
      <c r="O90" s="35">
        <f t="shared" si="9"/>
        <v>9.1767477139061762E-2</v>
      </c>
      <c r="P90" s="36">
        <v>8.9849999999999999E-2</v>
      </c>
    </row>
    <row r="91" spans="1:16" ht="15" x14ac:dyDescent="0.25">
      <c r="A91" s="29">
        <v>79</v>
      </c>
      <c r="B91" s="30" t="s">
        <v>168</v>
      </c>
      <c r="C91" s="31">
        <v>27744</v>
      </c>
      <c r="D91" s="32">
        <v>1.2615743214331674E-2</v>
      </c>
      <c r="E91" s="31">
        <f>F91*$L$3*E$7</f>
        <v>44071.464436674367</v>
      </c>
      <c r="F91" s="31">
        <f t="shared" si="6"/>
        <v>1387.2</v>
      </c>
      <c r="G91" s="31">
        <f>H91*$L$3*G$7</f>
        <v>61700.050211344103</v>
      </c>
      <c r="H91" s="31">
        <f t="shared" si="7"/>
        <v>1664.6399999999999</v>
      </c>
      <c r="I91" s="31">
        <f>J91*$L$3*I$7</f>
        <v>41133.366219943215</v>
      </c>
      <c r="J91" s="31">
        <f t="shared" si="8"/>
        <v>1294.7199815040001</v>
      </c>
      <c r="K91" s="33">
        <f t="shared" si="10"/>
        <v>146904.88086796168</v>
      </c>
      <c r="L91" s="30" t="s">
        <v>169</v>
      </c>
      <c r="M91" s="30" t="s">
        <v>164</v>
      </c>
      <c r="N91" s="34">
        <v>468583</v>
      </c>
      <c r="O91" s="35">
        <f t="shared" si="9"/>
        <v>9.1767477139061762E-2</v>
      </c>
      <c r="P91" s="36">
        <v>8.9849999999999999E-2</v>
      </c>
    </row>
    <row r="92" spans="1:16" ht="15" x14ac:dyDescent="0.25">
      <c r="A92" s="29">
        <v>89</v>
      </c>
      <c r="B92" s="30" t="s">
        <v>170</v>
      </c>
      <c r="C92" s="31">
        <v>22103</v>
      </c>
      <c r="D92" s="32">
        <v>1.0050669415598795E-2</v>
      </c>
      <c r="E92" s="31">
        <f>F92*$L$3*E$7</f>
        <v>35110.711449099392</v>
      </c>
      <c r="F92" s="31">
        <f t="shared" si="6"/>
        <v>1105.1500000000001</v>
      </c>
      <c r="G92" s="31">
        <f>H92*$L$3*G$7</f>
        <v>49154.996028739144</v>
      </c>
      <c r="H92" s="31">
        <f t="shared" si="7"/>
        <v>1326.18</v>
      </c>
      <c r="I92" s="31">
        <f>J92*$L$3*I$7</f>
        <v>32769.996884349945</v>
      </c>
      <c r="J92" s="31">
        <f t="shared" si="8"/>
        <v>1031.4733185980001</v>
      </c>
      <c r="K92" s="33">
        <f t="shared" si="10"/>
        <v>117035.70436218847</v>
      </c>
      <c r="L92" s="30" t="s">
        <v>171</v>
      </c>
      <c r="M92" s="30" t="s">
        <v>164</v>
      </c>
      <c r="N92" s="34">
        <v>468583</v>
      </c>
      <c r="O92" s="35">
        <f t="shared" si="9"/>
        <v>9.1767477139061762E-2</v>
      </c>
      <c r="P92" s="36">
        <v>8.9849999999999999E-2</v>
      </c>
    </row>
    <row r="93" spans="1:16" ht="15" x14ac:dyDescent="0.25">
      <c r="A93" s="29">
        <v>90</v>
      </c>
      <c r="B93" s="30" t="s">
        <v>172</v>
      </c>
      <c r="C93" s="31">
        <v>20155</v>
      </c>
      <c r="D93" s="32">
        <v>9.1648754500019795E-3</v>
      </c>
      <c r="E93" s="31">
        <f>F93*$L$3*E$7</f>
        <v>32016.304992833469</v>
      </c>
      <c r="F93" s="31">
        <f t="shared" si="6"/>
        <v>1007.75</v>
      </c>
      <c r="G93" s="31">
        <f>H93*$L$3*G$7</f>
        <v>44822.826989966859</v>
      </c>
      <c r="H93" s="31">
        <f t="shared" si="7"/>
        <v>1209.3</v>
      </c>
      <c r="I93" s="31">
        <f>J93*$L$3*I$7</f>
        <v>29881.884233093842</v>
      </c>
      <c r="J93" s="31">
        <f t="shared" si="8"/>
        <v>940.56665323000004</v>
      </c>
      <c r="K93" s="33">
        <f t="shared" si="10"/>
        <v>106721.01621589417</v>
      </c>
      <c r="L93" s="30" t="s">
        <v>171</v>
      </c>
      <c r="M93" s="30" t="s">
        <v>164</v>
      </c>
      <c r="N93" s="34">
        <v>468583</v>
      </c>
      <c r="O93" s="35">
        <f t="shared" si="9"/>
        <v>9.1767477139061762E-2</v>
      </c>
      <c r="P93" s="36">
        <v>8.9849999999999999E-2</v>
      </c>
    </row>
    <row r="94" spans="1:16" ht="15" x14ac:dyDescent="0.25">
      <c r="A94" s="29">
        <v>91</v>
      </c>
      <c r="B94" s="30" t="s">
        <v>173</v>
      </c>
      <c r="C94" s="31">
        <v>29045</v>
      </c>
      <c r="D94" s="32">
        <v>1.3207333537350903E-2</v>
      </c>
      <c r="E94" s="31">
        <f>F94*$L$3*E$7</f>
        <v>46138.108584313974</v>
      </c>
      <c r="F94" s="31">
        <f t="shared" si="6"/>
        <v>1452.25</v>
      </c>
      <c r="G94" s="31">
        <f>H94*$L$3*G$7</f>
        <v>64593.352018039572</v>
      </c>
      <c r="H94" s="31">
        <f t="shared" si="7"/>
        <v>1742.7</v>
      </c>
      <c r="I94" s="31">
        <f>J94*$L$3*I$7</f>
        <v>43062.234063518255</v>
      </c>
      <c r="J94" s="31">
        <f t="shared" si="8"/>
        <v>1355.43331397</v>
      </c>
      <c r="K94" s="33">
        <f t="shared" si="10"/>
        <v>153793.69466587179</v>
      </c>
      <c r="L94" s="30" t="s">
        <v>171</v>
      </c>
      <c r="M94" s="30" t="s">
        <v>164</v>
      </c>
      <c r="N94" s="34">
        <v>468583</v>
      </c>
      <c r="O94" s="35">
        <f t="shared" si="9"/>
        <v>9.1767477139061762E-2</v>
      </c>
      <c r="P94" s="36">
        <v>8.9849999999999999E-2</v>
      </c>
    </row>
    <row r="95" spans="1:16" ht="15" x14ac:dyDescent="0.25">
      <c r="A95" s="29">
        <v>92</v>
      </c>
      <c r="B95" s="30" t="s">
        <v>174</v>
      </c>
      <c r="C95" s="31">
        <v>21498</v>
      </c>
      <c r="D95" s="32">
        <v>9.775564000205534E-3</v>
      </c>
      <c r="E95" s="31">
        <f>F95*$L$3*E$7</f>
        <v>34149.666322795034</v>
      </c>
      <c r="F95" s="31">
        <f t="shared" si="6"/>
        <v>1074.9000000000001</v>
      </c>
      <c r="G95" s="31">
        <f>H95*$L$3*G$7</f>
        <v>47809.532851913049</v>
      </c>
      <c r="H95" s="31">
        <f t="shared" si="7"/>
        <v>1289.8799999999999</v>
      </c>
      <c r="I95" s="31">
        <f>J95*$L$3*I$7</f>
        <v>31873.021445946484</v>
      </c>
      <c r="J95" s="31">
        <f t="shared" si="8"/>
        <v>1003.239985668</v>
      </c>
      <c r="K95" s="33">
        <f t="shared" si="10"/>
        <v>113832.22062065455</v>
      </c>
      <c r="L95" s="30" t="s">
        <v>171</v>
      </c>
      <c r="M95" s="30" t="s">
        <v>164</v>
      </c>
      <c r="N95" s="34">
        <v>468583</v>
      </c>
      <c r="O95" s="35">
        <f t="shared" si="9"/>
        <v>9.1767477139061762E-2</v>
      </c>
      <c r="P95" s="36">
        <v>8.9849999999999999E-2</v>
      </c>
    </row>
    <row r="96" spans="1:16" ht="15" x14ac:dyDescent="0.25">
      <c r="A96" s="29">
        <v>108</v>
      </c>
      <c r="B96" s="30" t="s">
        <v>175</v>
      </c>
      <c r="C96" s="31">
        <v>25228</v>
      </c>
      <c r="D96" s="32">
        <v>1.1471668462051596E-2</v>
      </c>
      <c r="E96" s="31">
        <f>F96*$L$3*E$7</f>
        <v>40074.787514721051</v>
      </c>
      <c r="F96" s="31">
        <f t="shared" si="6"/>
        <v>1261.4000000000001</v>
      </c>
      <c r="G96" s="31">
        <f>H96*$L$3*G$7</f>
        <v>56104.70252060947</v>
      </c>
      <c r="H96" s="31">
        <f t="shared" si="7"/>
        <v>1513.6799999999998</v>
      </c>
      <c r="I96" s="31">
        <f>J96*$L$3*I$7</f>
        <v>37403.134479409149</v>
      </c>
      <c r="J96" s="31">
        <f t="shared" si="8"/>
        <v>1177.306649848</v>
      </c>
      <c r="K96" s="33">
        <f t="shared" si="10"/>
        <v>133582.62451473967</v>
      </c>
      <c r="L96" s="30" t="s">
        <v>176</v>
      </c>
      <c r="M96" s="30" t="s">
        <v>164</v>
      </c>
      <c r="N96" s="34">
        <v>468583</v>
      </c>
      <c r="O96" s="35">
        <f t="shared" si="9"/>
        <v>9.1767477139061762E-2</v>
      </c>
      <c r="P96" s="36">
        <v>8.9849999999999999E-2</v>
      </c>
    </row>
    <row r="97" spans="1:16" ht="15" x14ac:dyDescent="0.25">
      <c r="A97" s="29">
        <v>93</v>
      </c>
      <c r="B97" s="30" t="s">
        <v>177</v>
      </c>
      <c r="C97" s="31">
        <v>39532</v>
      </c>
      <c r="D97" s="32">
        <v>1.7975978977399065E-2</v>
      </c>
      <c r="E97" s="31">
        <f>F97*$L$3*E$7</f>
        <v>62796.753608369778</v>
      </c>
      <c r="F97" s="31">
        <f t="shared" si="6"/>
        <v>1976.6000000000001</v>
      </c>
      <c r="G97" s="31">
        <f>H97*$L$3*G$7</f>
        <v>87915.455051717683</v>
      </c>
      <c r="H97" s="31">
        <f t="shared" si="7"/>
        <v>2371.92</v>
      </c>
      <c r="I97" s="31">
        <f>J97*$L$3*I$7</f>
        <v>58610.302530521745</v>
      </c>
      <c r="J97" s="31">
        <f t="shared" si="8"/>
        <v>1844.8266403120001</v>
      </c>
      <c r="K97" s="33">
        <f t="shared" si="10"/>
        <v>209322.51119060919</v>
      </c>
      <c r="L97" s="30" t="s">
        <v>178</v>
      </c>
      <c r="M97" s="30" t="s">
        <v>177</v>
      </c>
      <c r="N97" s="34">
        <v>72403</v>
      </c>
      <c r="O97" s="35">
        <f t="shared" si="9"/>
        <v>1.4179431706441523E-2</v>
      </c>
      <c r="P97" s="36">
        <v>1.7975978977399065E-2</v>
      </c>
    </row>
    <row r="98" spans="1:16" ht="15" x14ac:dyDescent="0.25">
      <c r="A98" s="29">
        <v>94</v>
      </c>
      <c r="B98" s="30" t="s">
        <v>179</v>
      </c>
      <c r="C98" s="31">
        <v>23408</v>
      </c>
      <c r="D98" s="32">
        <v>1.0644078617397485E-2</v>
      </c>
      <c r="E98" s="31">
        <f>F98*$L$3*E$7</f>
        <v>37183.709614102998</v>
      </c>
      <c r="F98" s="31">
        <f t="shared" si="6"/>
        <v>1170.4000000000001</v>
      </c>
      <c r="G98" s="31">
        <f>H98*$L$3*G$7</f>
        <v>52057.193459744194</v>
      </c>
      <c r="H98" s="31">
        <f t="shared" si="7"/>
        <v>1404.48</v>
      </c>
      <c r="I98" s="31">
        <f>J98*$L$3*I$7</f>
        <v>34704.795144046671</v>
      </c>
      <c r="J98" s="31">
        <f t="shared" si="8"/>
        <v>1092.3733177280001</v>
      </c>
      <c r="K98" s="33">
        <f t="shared" si="10"/>
        <v>123945.69821789386</v>
      </c>
      <c r="L98" s="30" t="s">
        <v>180</v>
      </c>
      <c r="M98" s="30" t="s">
        <v>181</v>
      </c>
      <c r="N98" s="34">
        <v>106683</v>
      </c>
      <c r="O98" s="35">
        <f t="shared" si="9"/>
        <v>2.0892840251623565E-2</v>
      </c>
      <c r="P98" s="36">
        <v>1.0644078617397485E-2</v>
      </c>
    </row>
    <row r="99" spans="1:16" ht="15" x14ac:dyDescent="0.25">
      <c r="A99" s="29">
        <v>25</v>
      </c>
      <c r="B99" s="30" t="s">
        <v>182</v>
      </c>
      <c r="C99" s="31">
        <v>16728</v>
      </c>
      <c r="D99" s="32">
        <v>7.6065510556999798E-3</v>
      </c>
      <c r="E99" s="31">
        <f>F99*$L$3*E$7</f>
        <v>26572.500616230132</v>
      </c>
      <c r="F99" s="31">
        <f t="shared" si="6"/>
        <v>836.40000000000009</v>
      </c>
      <c r="G99" s="31">
        <f>H99*$L$3*G$7</f>
        <v>37201.500862722176</v>
      </c>
      <c r="H99" s="31">
        <f t="shared" si="7"/>
        <v>1003.68</v>
      </c>
      <c r="I99" s="31">
        <f>J99*$L$3*I$7</f>
        <v>24801.000220848116</v>
      </c>
      <c r="J99" s="31">
        <f t="shared" si="8"/>
        <v>780.63998884800003</v>
      </c>
      <c r="K99" s="33">
        <f t="shared" si="10"/>
        <v>88575.001699800428</v>
      </c>
      <c r="L99" s="30" t="s">
        <v>183</v>
      </c>
      <c r="M99" s="30" t="s">
        <v>184</v>
      </c>
      <c r="N99" s="34">
        <v>45711</v>
      </c>
      <c r="O99" s="35">
        <f t="shared" si="9"/>
        <v>8.9520600352630212E-3</v>
      </c>
      <c r="P99" s="36">
        <v>7.6065510556999798E-3</v>
      </c>
    </row>
    <row r="100" spans="1:16" ht="15" x14ac:dyDescent="0.25">
      <c r="A100" s="29">
        <v>10</v>
      </c>
      <c r="B100" s="30" t="s">
        <v>185</v>
      </c>
      <c r="C100" s="31">
        <v>9785</v>
      </c>
      <c r="D100" s="32">
        <v>4.4494322142530074E-3</v>
      </c>
      <c r="E100" s="31">
        <f>F100*$L$3*E$7</f>
        <v>15543.514976674549</v>
      </c>
      <c r="F100" s="31">
        <f t="shared" si="6"/>
        <v>489.25</v>
      </c>
      <c r="G100" s="31">
        <f>H100*$L$3*G$7</f>
        <v>21760.920967344369</v>
      </c>
      <c r="H100" s="31">
        <f t="shared" si="7"/>
        <v>587.1</v>
      </c>
      <c r="I100" s="31">
        <f>J100*$L$3*I$7</f>
        <v>14507.280437649377</v>
      </c>
      <c r="J100" s="31">
        <f t="shared" si="8"/>
        <v>456.63332681000003</v>
      </c>
      <c r="K100" s="33">
        <f t="shared" si="10"/>
        <v>51811.716381668288</v>
      </c>
      <c r="L100" s="30" t="s">
        <v>186</v>
      </c>
      <c r="M100" s="30" t="s">
        <v>187</v>
      </c>
      <c r="N100" s="34">
        <v>78896</v>
      </c>
      <c r="O100" s="35">
        <f t="shared" si="9"/>
        <v>1.5451023354162265E-2</v>
      </c>
      <c r="P100" s="36">
        <v>1.738E-2</v>
      </c>
    </row>
    <row r="101" spans="1:16" ht="15" x14ac:dyDescent="0.25">
      <c r="A101" s="29">
        <v>96</v>
      </c>
      <c r="B101" s="30" t="s">
        <v>187</v>
      </c>
      <c r="C101" s="31">
        <v>12930</v>
      </c>
      <c r="D101" s="32">
        <v>5.8795256546031044E-3</v>
      </c>
      <c r="E101" s="31">
        <f>F101*$L$3*E$7</f>
        <v>20539.361129116187</v>
      </c>
      <c r="F101" s="31">
        <f t="shared" si="6"/>
        <v>646.5</v>
      </c>
      <c r="G101" s="31">
        <f>H101*$L$3*G$7</f>
        <v>28755.105580762662</v>
      </c>
      <c r="H101" s="31">
        <f t="shared" si="7"/>
        <v>775.8</v>
      </c>
      <c r="I101" s="31">
        <f>J101*$L$3*I$7</f>
        <v>19170.070113316964</v>
      </c>
      <c r="J101" s="31">
        <f t="shared" si="8"/>
        <v>603.39999138000007</v>
      </c>
      <c r="K101" s="33">
        <f t="shared" si="10"/>
        <v>68464.536823195813</v>
      </c>
      <c r="L101" s="30" t="s">
        <v>186</v>
      </c>
      <c r="M101" s="30" t="s">
        <v>187</v>
      </c>
      <c r="N101" s="34">
        <v>78896</v>
      </c>
      <c r="O101" s="35">
        <f t="shared" si="9"/>
        <v>1.5451023354162265E-2</v>
      </c>
      <c r="P101" s="36">
        <v>1.738E-2</v>
      </c>
    </row>
    <row r="102" spans="1:16" ht="15" x14ac:dyDescent="0.25">
      <c r="A102" s="29">
        <v>106</v>
      </c>
      <c r="B102" s="30" t="s">
        <v>188</v>
      </c>
      <c r="C102" s="31">
        <v>15497</v>
      </c>
      <c r="D102" s="32">
        <v>7.0467911113212926E-3</v>
      </c>
      <c r="E102" s="31">
        <f>F102*$L$3*E$7</f>
        <v>24617.051772460443</v>
      </c>
      <c r="F102" s="31">
        <f t="shared" si="6"/>
        <v>774.85</v>
      </c>
      <c r="G102" s="31">
        <f>H102*$L$3*G$7</f>
        <v>34463.872481444625</v>
      </c>
      <c r="H102" s="31">
        <f t="shared" si="7"/>
        <v>929.81999999999994</v>
      </c>
      <c r="I102" s="31">
        <f>J102*$L$3*I$7</f>
        <v>22975.914659402391</v>
      </c>
      <c r="J102" s="31">
        <f t="shared" si="8"/>
        <v>723.19332300200006</v>
      </c>
      <c r="K102" s="33">
        <f t="shared" si="10"/>
        <v>82056.838913307467</v>
      </c>
      <c r="L102" s="30" t="s">
        <v>186</v>
      </c>
      <c r="M102" s="30" t="s">
        <v>187</v>
      </c>
      <c r="N102" s="34">
        <v>78896</v>
      </c>
      <c r="O102" s="35">
        <f t="shared" si="9"/>
        <v>1.5451023354162265E-2</v>
      </c>
      <c r="P102" s="36">
        <v>1.738E-2</v>
      </c>
    </row>
    <row r="103" spans="1:16" ht="15" x14ac:dyDescent="0.25">
      <c r="A103" s="29">
        <v>2</v>
      </c>
      <c r="B103" s="30" t="s">
        <v>189</v>
      </c>
      <c r="C103" s="31">
        <v>18376</v>
      </c>
      <c r="D103" s="32">
        <v>8.3559291128373278E-3</v>
      </c>
      <c r="E103" s="31">
        <f>F103*$L$3*E$7</f>
        <v>29190.355770196373</v>
      </c>
      <c r="F103" s="31">
        <f t="shared" si="6"/>
        <v>918.80000000000007</v>
      </c>
      <c r="G103" s="31">
        <f>H103*$L$3*G$7</f>
        <v>40866.498078274919</v>
      </c>
      <c r="H103" s="31">
        <f t="shared" si="7"/>
        <v>1102.56</v>
      </c>
      <c r="I103" s="31">
        <f>J103*$L$3*I$7</f>
        <v>27244.331662978537</v>
      </c>
      <c r="J103" s="31">
        <f t="shared" si="8"/>
        <v>857.54665441600002</v>
      </c>
      <c r="K103" s="33">
        <f t="shared" si="10"/>
        <v>97301.185511449832</v>
      </c>
      <c r="L103" s="30" t="s">
        <v>190</v>
      </c>
      <c r="M103" s="30" t="s">
        <v>191</v>
      </c>
      <c r="N103" s="34">
        <v>54159</v>
      </c>
      <c r="O103" s="35">
        <f t="shared" si="9"/>
        <v>1.0606519644064009E-2</v>
      </c>
      <c r="P103" s="36">
        <v>1.9859999999999999E-2</v>
      </c>
    </row>
    <row r="104" spans="1:16" ht="15" x14ac:dyDescent="0.25">
      <c r="A104" s="29">
        <v>98</v>
      </c>
      <c r="B104" s="30" t="s">
        <v>191</v>
      </c>
      <c r="C104" s="31">
        <v>25307</v>
      </c>
      <c r="D104" s="32">
        <v>1.1507591317945922E-2</v>
      </c>
      <c r="E104" s="31">
        <f>F104*$L$3*E$7</f>
        <v>40200.279357659965</v>
      </c>
      <c r="F104" s="31">
        <f t="shared" si="6"/>
        <v>1265.3500000000001</v>
      </c>
      <c r="G104" s="31">
        <f>H104*$L$3*G$7</f>
        <v>56280.391100723944</v>
      </c>
      <c r="H104" s="31">
        <f t="shared" si="7"/>
        <v>1518.4199999999998</v>
      </c>
      <c r="I104" s="31">
        <f>J104*$L$3*I$7</f>
        <v>37520.260197812255</v>
      </c>
      <c r="J104" s="31">
        <f t="shared" si="8"/>
        <v>1180.9933164620002</v>
      </c>
      <c r="K104" s="33">
        <f t="shared" si="10"/>
        <v>134000.93065619617</v>
      </c>
      <c r="L104" s="30" t="s">
        <v>192</v>
      </c>
      <c r="M104" s="30" t="s">
        <v>191</v>
      </c>
      <c r="N104" s="34">
        <v>54159</v>
      </c>
      <c r="O104" s="35">
        <f t="shared" si="9"/>
        <v>1.0606519644064009E-2</v>
      </c>
      <c r="P104" s="36">
        <v>1.9859999999999999E-2</v>
      </c>
    </row>
    <row r="105" spans="1:16" ht="15" x14ac:dyDescent="0.25">
      <c r="A105" s="29">
        <v>28</v>
      </c>
      <c r="B105" s="30" t="s">
        <v>193</v>
      </c>
      <c r="C105" s="31">
        <v>27215</v>
      </c>
      <c r="D105" s="32">
        <v>1.2375196495748144E-2</v>
      </c>
      <c r="E105" s="31">
        <f>F105*$L$3*E$7</f>
        <v>43231.145640285926</v>
      </c>
      <c r="F105" s="31">
        <f t="shared" si="6"/>
        <v>1360.75</v>
      </c>
      <c r="G105" s="31">
        <f>H105*$L$3*G$7</f>
        <v>60523.603896400295</v>
      </c>
      <c r="H105" s="31">
        <f t="shared" si="7"/>
        <v>1632.8999999999999</v>
      </c>
      <c r="I105" s="31">
        <f>J105*$L$3*I$7</f>
        <v>40349.068687851599</v>
      </c>
      <c r="J105" s="31">
        <f t="shared" si="8"/>
        <v>1270.0333151900002</v>
      </c>
      <c r="K105" s="33">
        <f t="shared" si="10"/>
        <v>144103.81822453783</v>
      </c>
      <c r="L105" s="30" t="s">
        <v>194</v>
      </c>
      <c r="M105" s="30" t="s">
        <v>195</v>
      </c>
      <c r="N105" s="34">
        <v>171522</v>
      </c>
      <c r="O105" s="35">
        <f t="shared" si="9"/>
        <v>3.3590935253404737E-2</v>
      </c>
      <c r="P105" s="36">
        <v>5.042E-2</v>
      </c>
    </row>
    <row r="106" spans="1:16" ht="15" x14ac:dyDescent="0.25">
      <c r="A106" s="29">
        <v>33</v>
      </c>
      <c r="B106" s="30" t="s">
        <v>196</v>
      </c>
      <c r="C106" s="31">
        <v>13401</v>
      </c>
      <c r="D106" s="32">
        <v>6.0936986308844712E-3</v>
      </c>
      <c r="E106" s="31">
        <f>F106*$L$3*E$7</f>
        <v>21287.546673726687</v>
      </c>
      <c r="F106" s="31">
        <f t="shared" si="6"/>
        <v>670.05000000000007</v>
      </c>
      <c r="G106" s="31">
        <f>H106*$L$3*G$7</f>
        <v>29802.565343217357</v>
      </c>
      <c r="H106" s="31">
        <f t="shared" si="7"/>
        <v>804.06</v>
      </c>
      <c r="I106" s="31">
        <f>J106*$L$3*I$7</f>
        <v>19868.376611644282</v>
      </c>
      <c r="J106" s="31">
        <f t="shared" si="8"/>
        <v>625.379991066</v>
      </c>
      <c r="K106" s="33">
        <f t="shared" si="10"/>
        <v>70958.488628588326</v>
      </c>
      <c r="L106" s="30" t="s">
        <v>197</v>
      </c>
      <c r="M106" s="30" t="s">
        <v>195</v>
      </c>
      <c r="N106" s="34">
        <v>171522</v>
      </c>
      <c r="O106" s="35">
        <f t="shared" si="9"/>
        <v>3.3590935253404737E-2</v>
      </c>
      <c r="P106" s="36">
        <v>5.042E-2</v>
      </c>
    </row>
    <row r="107" spans="1:16" ht="15" x14ac:dyDescent="0.25">
      <c r="A107" s="29">
        <v>36</v>
      </c>
      <c r="B107" s="30" t="s">
        <v>198</v>
      </c>
      <c r="C107" s="31">
        <v>24888</v>
      </c>
      <c r="D107" s="32">
        <v>1.1317063765797532E-2</v>
      </c>
      <c r="E107" s="31">
        <f>F107*$L$3*E$7</f>
        <v>39534.696038781418</v>
      </c>
      <c r="F107" s="31">
        <f t="shared" si="6"/>
        <v>1244.4000000000001</v>
      </c>
      <c r="G107" s="31">
        <f>H107*$L$3*G$7</f>
        <v>55348.574454293979</v>
      </c>
      <c r="H107" s="31">
        <f t="shared" si="7"/>
        <v>1493.28</v>
      </c>
      <c r="I107" s="31">
        <f>J107*$L$3*I$7</f>
        <v>36899.049109066706</v>
      </c>
      <c r="J107" s="31">
        <f t="shared" si="8"/>
        <v>1161.439983408</v>
      </c>
      <c r="K107" s="33">
        <f t="shared" si="10"/>
        <v>131782.31960214209</v>
      </c>
      <c r="L107" s="30" t="s">
        <v>194</v>
      </c>
      <c r="M107" s="30" t="s">
        <v>195</v>
      </c>
      <c r="N107" s="34">
        <v>171522</v>
      </c>
      <c r="O107" s="35">
        <f t="shared" si="9"/>
        <v>3.3590935253404737E-2</v>
      </c>
      <c r="P107" s="36">
        <v>5.042E-2</v>
      </c>
    </row>
    <row r="108" spans="1:16" ht="15" x14ac:dyDescent="0.25">
      <c r="A108" s="29">
        <v>39</v>
      </c>
      <c r="B108" s="30" t="s">
        <v>199</v>
      </c>
      <c r="C108" s="31">
        <v>8698</v>
      </c>
      <c r="D108" s="32">
        <v>3.955151905934865E-3</v>
      </c>
      <c r="E108" s="31">
        <f>F108*$L$3*E$7</f>
        <v>13816.810758008709</v>
      </c>
      <c r="F108" s="31">
        <f t="shared" si="6"/>
        <v>434.90000000000003</v>
      </c>
      <c r="G108" s="31">
        <f>H108*$L$3*G$7</f>
        <v>19343.535061212191</v>
      </c>
      <c r="H108" s="31">
        <f t="shared" si="7"/>
        <v>521.88</v>
      </c>
      <c r="I108" s="31">
        <f>J108*$L$3*I$7</f>
        <v>12895.689856583984</v>
      </c>
      <c r="J108" s="31">
        <f t="shared" si="8"/>
        <v>405.90666086800002</v>
      </c>
      <c r="K108" s="33">
        <f t="shared" si="10"/>
        <v>46056.035675804887</v>
      </c>
      <c r="L108" s="30" t="s">
        <v>200</v>
      </c>
      <c r="M108" s="30" t="s">
        <v>195</v>
      </c>
      <c r="N108" s="34">
        <v>171522</v>
      </c>
      <c r="O108" s="35">
        <f t="shared" si="9"/>
        <v>3.3590935253404737E-2</v>
      </c>
      <c r="P108" s="36">
        <v>5.042E-2</v>
      </c>
    </row>
    <row r="109" spans="1:16" ht="15" x14ac:dyDescent="0.25">
      <c r="A109" s="29">
        <v>65</v>
      </c>
      <c r="B109" s="30" t="s">
        <v>201</v>
      </c>
      <c r="C109" s="31">
        <v>11064</v>
      </c>
      <c r="D109" s="32">
        <v>5.0310187039852095E-3</v>
      </c>
      <c r="E109" s="31">
        <f>F109*$L$3*E$7</f>
        <v>17575.212028812181</v>
      </c>
      <c r="F109" s="31">
        <f t="shared" si="6"/>
        <v>553.20000000000005</v>
      </c>
      <c r="G109" s="31">
        <f>H109*$L$3*G$7</f>
        <v>24605.296840337054</v>
      </c>
      <c r="H109" s="31">
        <f t="shared" si="7"/>
        <v>663.84</v>
      </c>
      <c r="I109" s="31">
        <f>J109*$L$3*I$7</f>
        <v>16403.53099255521</v>
      </c>
      <c r="J109" s="31">
        <f t="shared" si="8"/>
        <v>516.31999262400007</v>
      </c>
      <c r="K109" s="33">
        <f t="shared" si="10"/>
        <v>58584.039861704441</v>
      </c>
      <c r="L109" s="30" t="s">
        <v>202</v>
      </c>
      <c r="M109" s="30" t="s">
        <v>195</v>
      </c>
      <c r="N109" s="34">
        <v>171522</v>
      </c>
      <c r="O109" s="35">
        <f t="shared" si="9"/>
        <v>3.3590935253404737E-2</v>
      </c>
      <c r="P109" s="36">
        <v>5.042E-2</v>
      </c>
    </row>
    <row r="110" spans="1:16" ht="15" x14ac:dyDescent="0.25">
      <c r="A110" s="29">
        <v>95</v>
      </c>
      <c r="B110" s="30" t="s">
        <v>203</v>
      </c>
      <c r="C110" s="31">
        <v>13032</v>
      </c>
      <c r="D110" s="32">
        <v>5.9259070634793245E-3</v>
      </c>
      <c r="E110" s="31">
        <f>F110*$L$3*E$7</f>
        <v>20701.388571898078</v>
      </c>
      <c r="F110" s="31">
        <f t="shared" si="6"/>
        <v>651.6</v>
      </c>
      <c r="G110" s="31">
        <f>H110*$L$3*G$7</f>
        <v>28981.94400065731</v>
      </c>
      <c r="H110" s="31">
        <f t="shared" si="7"/>
        <v>781.92</v>
      </c>
      <c r="I110" s="31">
        <f>J110*$L$3*I$7</f>
        <v>19321.295724419691</v>
      </c>
      <c r="J110" s="31">
        <f t="shared" si="8"/>
        <v>608.15999131199999</v>
      </c>
      <c r="K110" s="33">
        <f t="shared" si="10"/>
        <v>69004.628296975076</v>
      </c>
      <c r="L110" s="30" t="s">
        <v>197</v>
      </c>
      <c r="M110" s="30" t="s">
        <v>195</v>
      </c>
      <c r="N110" s="34">
        <v>171522</v>
      </c>
      <c r="O110" s="35">
        <f t="shared" si="9"/>
        <v>3.3590935253404737E-2</v>
      </c>
      <c r="P110" s="36">
        <v>5.042E-2</v>
      </c>
    </row>
    <row r="111" spans="1:16" ht="15" x14ac:dyDescent="0.25">
      <c r="A111" s="29">
        <v>115</v>
      </c>
      <c r="B111" s="30" t="s">
        <v>204</v>
      </c>
      <c r="C111" s="31">
        <v>12576</v>
      </c>
      <c r="D111" s="32">
        <v>5.7185548826209319E-3</v>
      </c>
      <c r="E111" s="31">
        <f>F111*$L$3*E$7</f>
        <v>19977.030592402567</v>
      </c>
      <c r="F111" s="31">
        <f t="shared" si="6"/>
        <v>628.80000000000007</v>
      </c>
      <c r="G111" s="31">
        <f>H111*$L$3*G$7</f>
        <v>27967.842829363588</v>
      </c>
      <c r="H111" s="31">
        <f t="shared" si="7"/>
        <v>754.56</v>
      </c>
      <c r="I111" s="31">
        <f>J111*$L$3*I$7</f>
        <v>18645.228286548652</v>
      </c>
      <c r="J111" s="31">
        <f t="shared" si="8"/>
        <v>586.87999161599998</v>
      </c>
      <c r="K111" s="33">
        <f t="shared" si="10"/>
        <v>66590.101708314804</v>
      </c>
      <c r="L111" s="30" t="s">
        <v>202</v>
      </c>
      <c r="M111" s="30" t="s">
        <v>195</v>
      </c>
      <c r="N111" s="34">
        <v>171522</v>
      </c>
      <c r="O111" s="35">
        <f t="shared" si="9"/>
        <v>3.3590935253404737E-2</v>
      </c>
      <c r="P111" s="36">
        <v>5.042E-2</v>
      </c>
    </row>
    <row r="112" spans="1:16" ht="15" x14ac:dyDescent="0.25">
      <c r="A112" s="29">
        <v>9</v>
      </c>
      <c r="B112" s="30" t="s">
        <v>205</v>
      </c>
      <c r="C112" s="31">
        <v>14909</v>
      </c>
      <c r="D112" s="32">
        <v>6.7794159307407349E-3</v>
      </c>
      <c r="E112" s="31">
        <f>F112*$L$3*E$7</f>
        <v>23683.011219953074</v>
      </c>
      <c r="F112" s="31">
        <f t="shared" si="6"/>
        <v>745.45</v>
      </c>
      <c r="G112" s="31">
        <f>H112*$L$3*G$7</f>
        <v>33156.215707934301</v>
      </c>
      <c r="H112" s="31">
        <f t="shared" si="7"/>
        <v>894.54</v>
      </c>
      <c r="I112" s="31">
        <f>J112*$L$3*I$7</f>
        <v>22104.143489516056</v>
      </c>
      <c r="J112" s="31">
        <f t="shared" si="8"/>
        <v>695.75332339400006</v>
      </c>
      <c r="K112" s="33">
        <f t="shared" si="10"/>
        <v>78943.370417403436</v>
      </c>
      <c r="L112" s="30" t="s">
        <v>206</v>
      </c>
      <c r="M112" s="30" t="s">
        <v>207</v>
      </c>
      <c r="N112" s="34">
        <v>36341</v>
      </c>
      <c r="O112" s="35">
        <f t="shared" si="9"/>
        <v>7.1170355875280226E-3</v>
      </c>
      <c r="P112" s="36">
        <v>6.7794159307407349E-3</v>
      </c>
    </row>
    <row r="113" spans="1:16" ht="15" x14ac:dyDescent="0.25">
      <c r="A113" s="29">
        <v>103</v>
      </c>
      <c r="B113" s="30" t="s">
        <v>208</v>
      </c>
      <c r="C113" s="31">
        <v>12424</v>
      </c>
      <c r="D113" s="32">
        <v>5.649437489001468E-3</v>
      </c>
      <c r="E113" s="31">
        <f>F113*$L$3*E$7</f>
        <v>19735.57793257073</v>
      </c>
      <c r="F113" s="31">
        <f t="shared" si="6"/>
        <v>621.20000000000005</v>
      </c>
      <c r="G113" s="31">
        <f>H113*$L$3*G$7</f>
        <v>27629.809105599019</v>
      </c>
      <c r="H113" s="31">
        <f t="shared" si="7"/>
        <v>745.43999999999994</v>
      </c>
      <c r="I113" s="31">
        <f>J113*$L$3*I$7</f>
        <v>18419.872473924974</v>
      </c>
      <c r="J113" s="31">
        <f t="shared" si="8"/>
        <v>579.78665838400002</v>
      </c>
      <c r="K113" s="33">
        <f t="shared" si="10"/>
        <v>65785.259512094723</v>
      </c>
      <c r="L113" s="30" t="s">
        <v>209</v>
      </c>
      <c r="M113" s="30" t="s">
        <v>208</v>
      </c>
      <c r="N113" s="34">
        <v>40002</v>
      </c>
      <c r="O113" s="35">
        <f t="shared" si="9"/>
        <v>7.834007252752977E-3</v>
      </c>
      <c r="P113" s="36">
        <v>5.649437489001468E-3</v>
      </c>
    </row>
    <row r="114" spans="1:16" ht="15" x14ac:dyDescent="0.25">
      <c r="A114" s="29">
        <v>105</v>
      </c>
      <c r="B114" s="30" t="s">
        <v>210</v>
      </c>
      <c r="C114" s="31">
        <v>2837</v>
      </c>
      <c r="D114" s="32">
        <v>1.2900397743317098E-3</v>
      </c>
      <c r="E114" s="31">
        <f>F114*$L$3*E$7</f>
        <v>4506.5868154139698</v>
      </c>
      <c r="F114" s="31">
        <f t="shared" si="6"/>
        <v>141.85</v>
      </c>
      <c r="G114" s="31">
        <f>H114*$L$3*G$7</f>
        <v>6309.2215415795572</v>
      </c>
      <c r="H114" s="31">
        <f t="shared" si="7"/>
        <v>170.22</v>
      </c>
      <c r="I114" s="31">
        <f>J114*$L$3*I$7</f>
        <v>4206.1476342985479</v>
      </c>
      <c r="J114" s="31">
        <f t="shared" si="8"/>
        <v>132.393331442</v>
      </c>
      <c r="K114" s="33">
        <f t="shared" si="10"/>
        <v>15021.955991292074</v>
      </c>
      <c r="L114" s="30" t="s">
        <v>211</v>
      </c>
      <c r="M114" s="30" t="s">
        <v>212</v>
      </c>
      <c r="N114" s="37" t="s">
        <v>65</v>
      </c>
      <c r="O114" s="35"/>
      <c r="P114" s="36">
        <v>1.2900397743317098E-3</v>
      </c>
    </row>
    <row r="115" spans="1:16" ht="15" x14ac:dyDescent="0.25">
      <c r="A115" s="29">
        <v>107</v>
      </c>
      <c r="B115" s="30" t="s">
        <v>213</v>
      </c>
      <c r="C115" s="31">
        <v>12273</v>
      </c>
      <c r="D115" s="32">
        <v>5.5807748150768681E-3</v>
      </c>
      <c r="E115" s="31">
        <f>F115*$L$3*E$7</f>
        <v>19495.713777079887</v>
      </c>
      <c r="F115" s="31">
        <f t="shared" si="6"/>
        <v>613.65</v>
      </c>
      <c r="G115" s="31">
        <f>H115*$L$3*G$7</f>
        <v>27293.999287911844</v>
      </c>
      <c r="H115" s="31">
        <f t="shared" si="7"/>
        <v>736.38</v>
      </c>
      <c r="I115" s="31">
        <f>J115*$L$3*I$7</f>
        <v>18195.999265331713</v>
      </c>
      <c r="J115" s="31">
        <f t="shared" si="8"/>
        <v>572.73999181800002</v>
      </c>
      <c r="K115" s="33">
        <f t="shared" si="10"/>
        <v>64985.71233032344</v>
      </c>
      <c r="L115" s="30" t="s">
        <v>214</v>
      </c>
      <c r="M115" s="30" t="s">
        <v>213</v>
      </c>
      <c r="N115" s="34">
        <v>77534</v>
      </c>
      <c r="O115" s="35">
        <f t="shared" ref="O115:O120" si="11">SUM(N115/$N$8)</f>
        <v>1.5184288743936536E-2</v>
      </c>
      <c r="P115" s="36">
        <v>5.5807748150768681E-3</v>
      </c>
    </row>
    <row r="116" spans="1:16" ht="15" x14ac:dyDescent="0.25">
      <c r="A116" s="29">
        <v>100</v>
      </c>
      <c r="B116" s="30" t="s">
        <v>215</v>
      </c>
      <c r="C116" s="31">
        <v>30917</v>
      </c>
      <c r="D116" s="32">
        <v>1.4058568806137988E-2</v>
      </c>
      <c r="E116" s="31">
        <f>F116*$L$3*E$7</f>
        <v>49111.788710663976</v>
      </c>
      <c r="F116" s="31">
        <f t="shared" si="6"/>
        <v>1545.8500000000001</v>
      </c>
      <c r="G116" s="31">
        <f>H116*$L$3*G$7</f>
        <v>68756.50419492957</v>
      </c>
      <c r="H116" s="31">
        <f t="shared" si="7"/>
        <v>1855.02</v>
      </c>
      <c r="I116" s="31">
        <f>J116*$L$3*I$7</f>
        <v>45837.668808462528</v>
      </c>
      <c r="J116" s="31">
        <f t="shared" si="8"/>
        <v>1442.7933127220001</v>
      </c>
      <c r="K116" s="33">
        <f t="shared" si="10"/>
        <v>163705.96171405609</v>
      </c>
      <c r="L116" s="30" t="s">
        <v>216</v>
      </c>
      <c r="M116" s="30" t="s">
        <v>217</v>
      </c>
      <c r="N116" s="34">
        <v>82997</v>
      </c>
      <c r="O116" s="35">
        <f t="shared" si="11"/>
        <v>1.6254164790678937E-2</v>
      </c>
      <c r="P116" s="36">
        <v>1.4058568806137988E-2</v>
      </c>
    </row>
    <row r="117" spans="1:16" ht="15" x14ac:dyDescent="0.25">
      <c r="A117" s="29">
        <v>66</v>
      </c>
      <c r="B117" s="30" t="s">
        <v>218</v>
      </c>
      <c r="C117" s="31">
        <v>24685</v>
      </c>
      <c r="D117" s="32">
        <v>1.1224755667739957E-2</v>
      </c>
      <c r="E117" s="31">
        <f>F117*$L$3*E$7</f>
        <v>39212.22965755863</v>
      </c>
      <c r="F117" s="31">
        <f t="shared" si="6"/>
        <v>1234.25</v>
      </c>
      <c r="G117" s="31">
        <f>H117*$L$3*G$7</f>
        <v>54897.121520582077</v>
      </c>
      <c r="H117" s="31">
        <f t="shared" si="7"/>
        <v>1481.1</v>
      </c>
      <c r="I117" s="31">
        <f>J117*$L$3*I$7</f>
        <v>36598.080490891662</v>
      </c>
      <c r="J117" s="31">
        <f t="shared" si="8"/>
        <v>1151.9666502100001</v>
      </c>
      <c r="K117" s="33">
        <f t="shared" si="10"/>
        <v>130707.43166903236</v>
      </c>
      <c r="L117" s="30" t="s">
        <v>219</v>
      </c>
      <c r="M117" s="30" t="s">
        <v>220</v>
      </c>
      <c r="N117" s="34">
        <v>81075</v>
      </c>
      <c r="O117" s="35">
        <f t="shared" si="11"/>
        <v>1.5877759562445568E-2</v>
      </c>
      <c r="P117" s="36">
        <v>1.1224755667739957E-2</v>
      </c>
    </row>
    <row r="118" spans="1:16" ht="15" x14ac:dyDescent="0.25">
      <c r="A118" s="29">
        <v>118</v>
      </c>
      <c r="B118" s="30" t="s">
        <v>221</v>
      </c>
      <c r="C118" s="31">
        <v>2484</v>
      </c>
      <c r="D118" s="32">
        <v>1.1295237220444016E-3</v>
      </c>
      <c r="E118" s="31">
        <f>F118*$L$3*E$7</f>
        <v>3945.8447830413465</v>
      </c>
      <c r="F118" s="31">
        <f t="shared" si="6"/>
        <v>124.2</v>
      </c>
      <c r="G118" s="31">
        <f>H118*$L$3*G$7</f>
        <v>5524.1826962578843</v>
      </c>
      <c r="H118" s="31">
        <f t="shared" si="7"/>
        <v>149.04</v>
      </c>
      <c r="I118" s="31">
        <f>J118*$L$3*I$7</f>
        <v>3682.7884115606598</v>
      </c>
      <c r="J118" s="31">
        <f t="shared" si="8"/>
        <v>115.91999834400001</v>
      </c>
      <c r="K118" s="33">
        <f t="shared" si="10"/>
        <v>13152.815890859891</v>
      </c>
      <c r="L118" s="38" t="s">
        <v>222</v>
      </c>
      <c r="M118" s="38" t="s">
        <v>223</v>
      </c>
      <c r="N118" s="39">
        <v>5106199</v>
      </c>
      <c r="O118" s="40">
        <f t="shared" si="11"/>
        <v>1</v>
      </c>
      <c r="P118" s="36">
        <v>1.1295237220444016E-3</v>
      </c>
    </row>
    <row r="119" spans="1:16" ht="15" x14ac:dyDescent="0.25">
      <c r="A119" s="29">
        <v>81</v>
      </c>
      <c r="B119" s="30" t="s">
        <v>224</v>
      </c>
      <c r="C119" s="31">
        <v>5751</v>
      </c>
      <c r="D119" s="32">
        <v>2.615092965168017E-3</v>
      </c>
      <c r="E119" s="31">
        <f>F119*$L$3*E$7</f>
        <v>9135.488465084858</v>
      </c>
      <c r="F119" s="31">
        <f t="shared" si="6"/>
        <v>287.55</v>
      </c>
      <c r="G119" s="31">
        <f>H119*$L$3*G$7</f>
        <v>12789.6838511188</v>
      </c>
      <c r="H119" s="31">
        <f t="shared" si="7"/>
        <v>345.06</v>
      </c>
      <c r="I119" s="31">
        <f>J119*$L$3*I$7</f>
        <v>8526.4557789393548</v>
      </c>
      <c r="J119" s="31">
        <f t="shared" si="8"/>
        <v>268.37999616600001</v>
      </c>
      <c r="K119" s="33">
        <f t="shared" si="10"/>
        <v>30451.628095143013</v>
      </c>
      <c r="L119" s="30" t="s">
        <v>56</v>
      </c>
      <c r="M119" s="30" t="s">
        <v>225</v>
      </c>
      <c r="N119" s="34">
        <v>63560</v>
      </c>
      <c r="O119" s="35">
        <f t="shared" si="11"/>
        <v>1.2447615143867288E-2</v>
      </c>
      <c r="P119" s="36">
        <v>1.052E-2</v>
      </c>
    </row>
    <row r="120" spans="1:16" ht="15" x14ac:dyDescent="0.25">
      <c r="A120" s="29">
        <v>102</v>
      </c>
      <c r="B120" s="30" t="s">
        <v>226</v>
      </c>
      <c r="C120" s="31">
        <v>17376</v>
      </c>
      <c r="D120" s="32">
        <v>7.901209417972432E-3</v>
      </c>
      <c r="E120" s="31">
        <f>F120*$L$3*E$7</f>
        <v>27601.851429197442</v>
      </c>
      <c r="F120" s="31">
        <f t="shared" si="6"/>
        <v>868.80000000000007</v>
      </c>
      <c r="G120" s="31">
        <f>H120*$L$3*G$7</f>
        <v>38642.592000876408</v>
      </c>
      <c r="H120" s="31">
        <f t="shared" si="7"/>
        <v>1042.56</v>
      </c>
      <c r="I120" s="31">
        <f>J120*$L$3*I$7</f>
        <v>25761.727632559592</v>
      </c>
      <c r="J120" s="31">
        <f t="shared" si="8"/>
        <v>810.87998841600006</v>
      </c>
      <c r="K120" s="33">
        <f t="shared" si="10"/>
        <v>92006.171062633439</v>
      </c>
      <c r="L120" s="30" t="s">
        <v>227</v>
      </c>
      <c r="M120" s="30" t="s">
        <v>225</v>
      </c>
      <c r="N120" s="34">
        <v>63560</v>
      </c>
      <c r="O120" s="35">
        <f t="shared" si="11"/>
        <v>1.2447615143867288E-2</v>
      </c>
      <c r="P120" s="36">
        <v>1.052E-2</v>
      </c>
    </row>
    <row r="121" spans="1:16" ht="15" x14ac:dyDescent="0.25">
      <c r="A121" s="29">
        <v>19</v>
      </c>
      <c r="B121" s="30" t="s">
        <v>228</v>
      </c>
      <c r="C121" s="31">
        <v>3786</v>
      </c>
      <c r="D121" s="32">
        <v>1.721568764758496E-3</v>
      </c>
      <c r="E121" s="31">
        <f>F121*$L$3*E$7</f>
        <v>6014.0774350219563</v>
      </c>
      <c r="F121" s="31">
        <f t="shared" si="6"/>
        <v>189.3</v>
      </c>
      <c r="G121" s="31">
        <f>H121*$L$3*G$7</f>
        <v>8419.708409030738</v>
      </c>
      <c r="H121" s="31">
        <f t="shared" si="7"/>
        <v>227.16</v>
      </c>
      <c r="I121" s="31">
        <f>J121*$L$3*I$7</f>
        <v>5613.1388591661262</v>
      </c>
      <c r="J121" s="31">
        <f t="shared" si="8"/>
        <v>176.67999747600001</v>
      </c>
      <c r="K121" s="33">
        <f t="shared" si="10"/>
        <v>20046.924703218821</v>
      </c>
      <c r="L121" s="30" t="s">
        <v>219</v>
      </c>
      <c r="M121" s="30" t="s">
        <v>229</v>
      </c>
      <c r="N121" s="37" t="s">
        <v>65</v>
      </c>
      <c r="O121" s="35"/>
      <c r="P121" s="36">
        <v>1.721568764758496E-3</v>
      </c>
    </row>
    <row r="122" spans="1:16" ht="15" x14ac:dyDescent="0.25">
      <c r="A122" s="29">
        <v>68</v>
      </c>
      <c r="B122" s="30" t="s">
        <v>230</v>
      </c>
      <c r="C122" s="31">
        <v>19597</v>
      </c>
      <c r="D122" s="32">
        <v>8.9111418602673669E-3</v>
      </c>
      <c r="E122" s="31">
        <f>F122*$L$3*E$7</f>
        <v>31129.919570556063</v>
      </c>
      <c r="F122" s="31">
        <f t="shared" si="6"/>
        <v>979.85</v>
      </c>
      <c r="G122" s="31">
        <f>H122*$L$3*G$7</f>
        <v>43581.88739877849</v>
      </c>
      <c r="H122" s="31">
        <f t="shared" si="7"/>
        <v>1175.82</v>
      </c>
      <c r="I122" s="31">
        <f>J122*$L$3*I$7</f>
        <v>29054.591184120065</v>
      </c>
      <c r="J122" s="31">
        <f t="shared" si="8"/>
        <v>914.52665360200001</v>
      </c>
      <c r="K122" s="33">
        <f t="shared" si="10"/>
        <v>103766.39815345462</v>
      </c>
      <c r="L122" s="30" t="s">
        <v>231</v>
      </c>
      <c r="M122" s="30" t="s">
        <v>232</v>
      </c>
      <c r="N122" s="34">
        <v>111435</v>
      </c>
      <c r="O122" s="35">
        <f>SUM(N122/$N$8)</f>
        <v>2.1823473781574121E-2</v>
      </c>
      <c r="P122" s="36">
        <v>2.1260000000000001E-2</v>
      </c>
    </row>
    <row r="123" spans="1:16" ht="15" x14ac:dyDescent="0.25">
      <c r="A123" s="29">
        <v>77</v>
      </c>
      <c r="B123" s="30" t="s">
        <v>233</v>
      </c>
      <c r="C123" s="31">
        <v>10620</v>
      </c>
      <c r="D123" s="32">
        <v>4.8291231594651948E-3</v>
      </c>
      <c r="E123" s="31">
        <f>F123*$L$3*E$7</f>
        <v>16869.916101408657</v>
      </c>
      <c r="F123" s="31">
        <f t="shared" si="6"/>
        <v>531</v>
      </c>
      <c r="G123" s="31">
        <f>H123*$L$3*G$7</f>
        <v>23617.882541972114</v>
      </c>
      <c r="H123" s="31">
        <f t="shared" si="7"/>
        <v>637.19999999999993</v>
      </c>
      <c r="I123" s="31">
        <f>J123*$L$3*I$7</f>
        <v>15745.254803049198</v>
      </c>
      <c r="J123" s="31">
        <f t="shared" si="8"/>
        <v>495.59999292000003</v>
      </c>
      <c r="K123" s="33">
        <f t="shared" si="10"/>
        <v>56233.053446429964</v>
      </c>
      <c r="L123" s="30" t="s">
        <v>231</v>
      </c>
      <c r="M123" s="30" t="s">
        <v>232</v>
      </c>
      <c r="N123" s="34">
        <v>111435</v>
      </c>
      <c r="O123" s="35">
        <f>SUM(N123/$N$8)</f>
        <v>2.1823473781574121E-2</v>
      </c>
      <c r="P123" s="36">
        <v>2.1260000000000001E-2</v>
      </c>
    </row>
    <row r="124" spans="1:16" ht="15" x14ac:dyDescent="0.25">
      <c r="A124" s="29">
        <v>110</v>
      </c>
      <c r="B124" s="30" t="s">
        <v>232</v>
      </c>
      <c r="C124" s="31">
        <v>16543</v>
      </c>
      <c r="D124" s="32">
        <v>7.5224279121499735E-3</v>
      </c>
      <c r="E124" s="31">
        <f>F124*$L$3*E$7</f>
        <v>26278.627313145331</v>
      </c>
      <c r="F124" s="31">
        <f t="shared" si="6"/>
        <v>827.15000000000009</v>
      </c>
      <c r="G124" s="31">
        <f>H124*$L$3*G$7</f>
        <v>36790.078238403454</v>
      </c>
      <c r="H124" s="31">
        <f t="shared" si="7"/>
        <v>992.57999999999993</v>
      </c>
      <c r="I124" s="31">
        <f>J124*$L$3*I$7</f>
        <v>24526.718475220612</v>
      </c>
      <c r="J124" s="31">
        <f t="shared" si="8"/>
        <v>772.0066556380001</v>
      </c>
      <c r="K124" s="33">
        <f t="shared" si="10"/>
        <v>87595.424026769397</v>
      </c>
      <c r="L124" s="30" t="s">
        <v>231</v>
      </c>
      <c r="M124" s="30" t="s">
        <v>232</v>
      </c>
      <c r="N124" s="34">
        <v>111435</v>
      </c>
      <c r="O124" s="35">
        <f>SUM(N124/$N$8)</f>
        <v>2.1823473781574121E-2</v>
      </c>
      <c r="P124" s="36">
        <v>2.1260000000000001E-2</v>
      </c>
    </row>
    <row r="125" spans="1:16" ht="15" x14ac:dyDescent="0.25">
      <c r="A125" s="29">
        <v>116</v>
      </c>
      <c r="B125" s="30" t="s">
        <v>234</v>
      </c>
      <c r="C125" s="31">
        <v>6011</v>
      </c>
      <c r="D125" s="32">
        <v>2.7333200858328894E-3</v>
      </c>
      <c r="E125" s="31">
        <f>F125*$L$3*E$7</f>
        <v>9548.4995937445783</v>
      </c>
      <c r="F125" s="31">
        <f t="shared" si="6"/>
        <v>300.55</v>
      </c>
      <c r="G125" s="31">
        <f>H125*$L$3*G$7</f>
        <v>13367.899431242409</v>
      </c>
      <c r="H125" s="31">
        <f t="shared" si="7"/>
        <v>360.65999999999997</v>
      </c>
      <c r="I125" s="31">
        <f>J125*$L$3*I$7</f>
        <v>8911.9328268482786</v>
      </c>
      <c r="J125" s="31">
        <f t="shared" si="8"/>
        <v>280.51332932600002</v>
      </c>
      <c r="K125" s="33">
        <f t="shared" si="10"/>
        <v>31828.331851835268</v>
      </c>
      <c r="L125" s="30" t="s">
        <v>235</v>
      </c>
      <c r="M125" s="30" t="s">
        <v>236</v>
      </c>
      <c r="N125" s="34">
        <v>25523</v>
      </c>
      <c r="O125" s="35">
        <f>SUM(N125/$N$8)</f>
        <v>4.9984342560875517E-3</v>
      </c>
      <c r="P125" s="36">
        <v>2.7333200858328894E-3</v>
      </c>
    </row>
    <row r="126" spans="1:16" ht="15" x14ac:dyDescent="0.25">
      <c r="A126" s="29">
        <v>117</v>
      </c>
      <c r="B126" s="30" t="s">
        <v>237</v>
      </c>
      <c r="C126" s="31">
        <v>8417</v>
      </c>
      <c r="D126" s="32">
        <v>3.8273756716778293E-3</v>
      </c>
      <c r="E126" s="31">
        <f>F126*$L$3*E$7</f>
        <v>13370.441038188008</v>
      </c>
      <c r="F126" s="31">
        <f t="shared" si="6"/>
        <v>420.85</v>
      </c>
      <c r="G126" s="31">
        <f>H126*$L$3*G$7</f>
        <v>18718.617453463212</v>
      </c>
      <c r="H126" s="31">
        <f t="shared" si="7"/>
        <v>505.02</v>
      </c>
      <c r="I126" s="31">
        <f>J126*$L$3*I$7</f>
        <v>12479.078124036259</v>
      </c>
      <c r="J126" s="31">
        <f t="shared" si="8"/>
        <v>392.79332772200002</v>
      </c>
      <c r="K126" s="33">
        <f t="shared" si="10"/>
        <v>44568.136615687479</v>
      </c>
      <c r="L126" s="30" t="s">
        <v>235</v>
      </c>
      <c r="M126" s="30" t="s">
        <v>237</v>
      </c>
      <c r="N126" s="34">
        <v>14117</v>
      </c>
      <c r="O126" s="35">
        <f>SUM(N126/$N$8)</f>
        <v>2.7646787757390576E-3</v>
      </c>
      <c r="P126" s="36">
        <v>3.8273756716778293E-3</v>
      </c>
    </row>
    <row r="127" spans="1:16" ht="15" x14ac:dyDescent="0.25">
      <c r="I127" s="41" t="s">
        <v>238</v>
      </c>
      <c r="J127" s="41"/>
      <c r="K127" s="33">
        <f>AVERAGE(K9:K126)</f>
        <v>98682.780425556703</v>
      </c>
    </row>
    <row r="128" spans="1:16" x14ac:dyDescent="0.2">
      <c r="B128" s="10" t="s">
        <v>239</v>
      </c>
    </row>
    <row r="129" spans="2:2" x14ac:dyDescent="0.2">
      <c r="B129" s="8" t="s">
        <v>240</v>
      </c>
    </row>
  </sheetData>
  <mergeCells count="14">
    <mergeCell ref="P5:P7"/>
    <mergeCell ref="I127:J127"/>
    <mergeCell ref="I5:J5"/>
    <mergeCell ref="K5:K7"/>
    <mergeCell ref="L5:L7"/>
    <mergeCell ref="M5:M7"/>
    <mergeCell ref="N5:N7"/>
    <mergeCell ref="O5:O7"/>
    <mergeCell ref="A5:A7"/>
    <mergeCell ref="B5:B7"/>
    <mergeCell ref="C5:C7"/>
    <mergeCell ref="D5:D7"/>
    <mergeCell ref="E5:F5"/>
    <mergeCell ref="G5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F3F3145572F4EB026CCEAA7B63C59" ma:contentTypeVersion="24" ma:contentTypeDescription="Create a new document." ma:contentTypeScope="" ma:versionID="e406ba1b9fdbbf862c02e37508ba5035">
  <xsd:schema xmlns:xsd="http://www.w3.org/2001/XMLSchema" xmlns:xs="http://www.w3.org/2001/XMLSchema" xmlns:p="http://schemas.microsoft.com/office/2006/metadata/properties" xmlns:ns1="http://schemas.microsoft.com/sharepoint/v3" xmlns:ns2="774ae3b8-d421-4d60-af2f-16a6e260eac4" xmlns:ns3="08c9a626-486d-42eb-bccc-2df973deaade" targetNamespace="http://schemas.microsoft.com/office/2006/metadata/properties" ma:root="true" ma:fieldsID="008da236c34c3c3c893ad86d3979144e" ns1:_="" ns2:_="" ns3:_="">
    <xsd:import namespace="http://schemas.microsoft.com/sharepoint/v3"/>
    <xsd:import namespace="774ae3b8-d421-4d60-af2f-16a6e260eac4"/>
    <xsd:import namespace="08c9a626-486d-42eb-bccc-2df973deaa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Priority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ae3b8-d421-4d60-af2f-16a6e260ea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6a28ca7-f774-4241-937e-de22154b68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7" nillable="true" ma:displayName="Status" ma:format="Dropdown" ma:internalName="Status">
      <xsd:simpleType>
        <xsd:union memberTypes="dms:Text">
          <xsd:simpleType>
            <xsd:restriction base="dms:Choice">
              <xsd:enumeration value="Archived"/>
              <xsd:enumeration value="On Hold"/>
              <xsd:enumeration value="Ideation"/>
              <xsd:enumeration value="Needs Review"/>
              <xsd:enumeration value="Submitted to Development"/>
              <xsd:enumeration value="Complete"/>
            </xsd:restriction>
          </xsd:simpleType>
        </xsd:union>
      </xsd:simpleType>
    </xsd:element>
    <xsd:element name="Priority" ma:index="28" nillable="true" ma:displayName="Priority " ma:format="Dropdown" ma:internalName="Priority">
      <xsd:simpleType>
        <xsd:restriction base="dms:Choice">
          <xsd:enumeration value="High"/>
          <xsd:enumeration value="Medium"/>
          <xsd:enumeration value="Low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9a626-486d-42eb-bccc-2df973deaad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cae5847-88b0-4f91-8774-37237e2ba692}" ma:internalName="TaxCatchAll" ma:showField="CatchAllData" ma:web="08c9a626-486d-42eb-bccc-2df973deaa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8c9a626-486d-42eb-bccc-2df973deaade" xsi:nil="true"/>
    <Priority xmlns="774ae3b8-d421-4d60-af2f-16a6e260eac4" xsi:nil="true"/>
    <lcf76f155ced4ddcb4097134ff3c332f xmlns="774ae3b8-d421-4d60-af2f-16a6e260eac4">
      <Terms xmlns="http://schemas.microsoft.com/office/infopath/2007/PartnerControls"/>
    </lcf76f155ced4ddcb4097134ff3c332f>
    <_ip_UnifiedCompliancePolicyProperties xmlns="http://schemas.microsoft.com/sharepoint/v3" xsi:nil="true"/>
    <Status xmlns="774ae3b8-d421-4d60-af2f-16a6e260eac4" xsi:nil="true"/>
  </documentManagement>
</p:properties>
</file>

<file path=customXml/itemProps1.xml><?xml version="1.0" encoding="utf-8"?>
<ds:datastoreItem xmlns:ds="http://schemas.openxmlformats.org/officeDocument/2006/customXml" ds:itemID="{C96F9436-D895-4124-8D0E-760D7A0D8D20}"/>
</file>

<file path=customXml/itemProps2.xml><?xml version="1.0" encoding="utf-8"?>
<ds:datastoreItem xmlns:ds="http://schemas.openxmlformats.org/officeDocument/2006/customXml" ds:itemID="{3D8C56B4-0EFA-4BE0-ACFD-9A7B1EA009FE}"/>
</file>

<file path=customXml/itemProps3.xml><?xml version="1.0" encoding="utf-8"?>
<ds:datastoreItem xmlns:ds="http://schemas.openxmlformats.org/officeDocument/2006/customXml" ds:itemID="{998E1792-2BFA-4FE7-8096-1EBC931A25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 IMPLEMENTATION MODEL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Samuel</dc:creator>
  <cp:lastModifiedBy>Lee, Samuel</cp:lastModifiedBy>
  <dcterms:created xsi:type="dcterms:W3CDTF">2026-06-11T14:44:18Z</dcterms:created>
  <dcterms:modified xsi:type="dcterms:W3CDTF">2026-06-11T15:26:58Z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0x010100009F3F3145572F4EB026CCEAA7B63C59</vt:lpwstr>
  </property>
</Properties>
</file>